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340512\Downloads\"/>
    </mc:Choice>
  </mc:AlternateContent>
  <xr:revisionPtr revIDLastSave="0" documentId="13_ncr:1_{EDF54256-6815-4996-805F-F9571FB141F9}" xr6:coauthVersionLast="47" xr6:coauthVersionMax="47" xr10:uidLastSave="{00000000-0000-0000-0000-000000000000}"/>
  <bookViews>
    <workbookView xWindow="-120" yWindow="-120" windowWidth="29040" windowHeight="15720" activeTab="2" xr2:uid="{DB70BC2F-B22A-4371-B881-15AEDB6ABD0D}"/>
  </bookViews>
  <sheets>
    <sheet name="Baza" sheetId="1" r:id="rId1"/>
    <sheet name="Preferencje" sheetId="2" r:id="rId2"/>
    <sheet name="Wynik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 a="1"/>
  <c r="A1" i="4" s="1"/>
  <c r="J2" i="1"/>
  <c r="J3" i="1"/>
  <c r="J4" i="1"/>
  <c r="J5" i="1"/>
  <c r="J6" i="1"/>
  <c r="J7" i="1"/>
  <c r="J8" i="1"/>
  <c r="J9" i="1"/>
  <c r="B1" i="4" l="1" a="1"/>
  <c r="B1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<sst xmlns="http://schemas.openxmlformats.org/spreadsheetml/2006/main" count="28" uniqueCount="20">
  <si>
    <t>Owoc</t>
  </si>
  <si>
    <t>Słodycz</t>
  </si>
  <si>
    <t>Twardość</t>
  </si>
  <si>
    <t>Soczystość</t>
  </si>
  <si>
    <t>Jabłko</t>
  </si>
  <si>
    <t>Banan</t>
  </si>
  <si>
    <t>Arbuz</t>
  </si>
  <si>
    <t>Mango</t>
  </si>
  <si>
    <t>Cena</t>
  </si>
  <si>
    <t>Parametr</t>
  </si>
  <si>
    <t>Pitaja</t>
  </si>
  <si>
    <t>Wygląd</t>
  </si>
  <si>
    <t>Truskawka</t>
  </si>
  <si>
    <t>Kwaśność</t>
  </si>
  <si>
    <t>Cytryna</t>
  </si>
  <si>
    <t>Kaloryczność</t>
  </si>
  <si>
    <t>Witaminy</t>
  </si>
  <si>
    <t>Borówka</t>
  </si>
  <si>
    <t>Kolumna1</t>
  </si>
  <si>
    <t>Wartość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</si>
</sst>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charset val="238"/>
      <scheme val="minor"/>
    </font>
    <font>
      <sz val="11"/>
      <color rgb="FF1F1F1F"/>
      <name val="Arial"/>
      <family val="2"/>
      <charset val="238"/>
    </font>
    <font>
      <b/>
      <sz val="11"/>
      <color rgb="FF1F1F1F"/>
      <name val="Arial"/>
      <family val="2"/>
      <charset val="238"/>
    </font>
    <font>
      <i/>
      <sz val="11"/>
      <color rgb="FF1F1F1F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7" xfId="0" applyFont="1" applyBorder="1" applyAlignment="1">
      <alignment horizontal="center" vertical="center" wrapText="1" readingOrder="1"/>
    </xf>
    <xf numFmtId="0" fontId="1" fillId="0" borderId="8" xfId="0" applyFont="1" applyBorder="1" applyAlignment="1">
      <alignment horizontal="center" vertical="center" wrapText="1" readingOrder="1"/>
    </xf>
    <xf numFmtId="0" fontId="1" fillId="0" borderId="9" xfId="0" applyFont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left" vertical="center" wrapText="1" readingOrder="1"/>
    </xf>
    <xf numFmtId="0" fontId="2" fillId="0" borderId="5" xfId="0" applyFont="1" applyBorder="1" applyAlignment="1">
      <alignment horizontal="left" vertical="center" wrapText="1" readingOrder="1"/>
    </xf>
    <xf numFmtId="0" fontId="2" fillId="0" borderId="6" xfId="0" applyFont="1" applyBorder="1" applyAlignment="1">
      <alignment horizontal="left" vertical="center" wrapText="1" readingOrder="1"/>
    </xf>
    <xf numFmtId="0" fontId="1" fillId="0" borderId="5" xfId="0" applyFont="1" applyBorder="1" applyAlignment="1">
      <alignment horizontal="center" vertical="center" wrapText="1" readingOrder="1"/>
    </xf>
    <xf numFmtId="0" fontId="2" fillId="0" borderId="0" xfId="0" applyFont="1" applyBorder="1" applyAlignment="1">
      <alignment horizontal="right" vertical="center" wrapText="1" indent="1" readingOrder="1"/>
    </xf>
    <xf numFmtId="0" fontId="2" fillId="0" borderId="0" xfId="0" applyFont="1" applyBorder="1" applyAlignment="1">
      <alignment vertical="center" wrapText="1" readingOrder="1"/>
    </xf>
    <xf numFmtId="0" fontId="1" fillId="0" borderId="0" xfId="0" applyFont="1" applyBorder="1" applyAlignment="1">
      <alignment horizontal="right" vertical="center" wrapText="1" indent="1" readingOrder="1"/>
    </xf>
    <xf numFmtId="0" fontId="1" fillId="0" borderId="0" xfId="0" applyFont="1" applyBorder="1" applyAlignment="1">
      <alignment vertical="center" wrapText="1" readingOrder="1"/>
    </xf>
    <xf numFmtId="0" fontId="3" fillId="0" borderId="0" xfId="0" applyFont="1" applyBorder="1" applyAlignment="1">
      <alignment vertical="center" wrapText="1" readingOrder="1"/>
    </xf>
    <xf numFmtId="0" fontId="1" fillId="0" borderId="10" xfId="0" applyFont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</cellXfs>
  <cellStyles count="1">
    <cellStyle name="Normalny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numFmt numFmtId="0" formatCode="General"/>
      <alignment horizontal="center" vertical="center" textRotation="0" wrapText="1" indent="0" justifyLastLine="0" shrinkToFit="0" readingOrder="1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center" vertical="center" textRotation="0" wrapText="1" indent="0" justifyLastLine="0" shrinkToFit="0" readingOrder="1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center" vertical="center" textRotation="0" wrapText="1" indent="0" justifyLastLine="0" shrinkToFit="0" readingOrder="1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center" vertical="center" textRotation="0" wrapText="1" indent="0" justifyLastLine="0" shrinkToFit="0" readingOrder="1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center" vertical="center" textRotation="0" wrapText="1" indent="0" justifyLastLine="0" shrinkToFit="0" readingOrder="1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left" vertical="center" textRotation="0" wrapText="1" indent="0" justifyLastLine="0" shrinkToFit="0" readingOrder="1"/>
      <border diagonalUp="0" diagonalDown="0" outline="0">
        <left style="medium">
          <color rgb="FF000000"/>
        </left>
        <right style="medium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center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center" vertical="center" textRotation="0" wrapText="1" indent="0" justifyLastLine="0" shrinkToFit="0" readingOrder="1"/>
      <border diagonalUp="0" diagonalDown="0">
        <left style="medium">
          <color rgb="FF000000"/>
        </left>
        <right/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center" vertical="center" textRotation="0" wrapText="1" indent="0" justifyLastLine="0" shrinkToFit="0" readingOrder="1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center" vertical="center" textRotation="0" wrapText="1" indent="0" justifyLastLine="0" shrinkToFit="0" readingOrder="1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center" vertical="center" textRotation="0" wrapText="1" indent="0" justifyLastLine="0" shrinkToFit="0" readingOrder="1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Arial"/>
        <family val="2"/>
        <charset val="238"/>
        <scheme val="none"/>
      </font>
      <alignment horizontal="center" vertical="center" textRotation="0" wrapText="1" indent="0" justifyLastLine="0" shrinkToFit="0" readingOrder="1"/>
      <border diagonalUp="0" diagonalDown="0">
        <left/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border outline="0">
        <top style="medium">
          <color rgb="FF000000"/>
        </top>
      </border>
    </dxf>
    <dxf>
      <border outline="0">
        <bottom style="medium">
          <color rgb="FF000000"/>
        </bottom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Im</a:t>
            </a:r>
            <a:r>
              <a:rPr lang="pl-PL" baseline="0"/>
              <a:t> mniejszy wynik tym lepszy</a:t>
            </a:r>
          </a:p>
        </c:rich>
      </c:tx>
      <c:layout>
        <c:manualLayout>
          <c:xMode val="edge"/>
          <c:yMode val="edge"/>
          <c:x val="1.6222222222222232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Wynik!$A$1:$A$8</c:f>
              <c:strCache>
                <c:ptCount val="8"/>
                <c:pt idx="0">
                  <c:v>Jabłko</c:v>
                </c:pt>
                <c:pt idx="1">
                  <c:v>Banan</c:v>
                </c:pt>
                <c:pt idx="2">
                  <c:v>Arbuz</c:v>
                </c:pt>
                <c:pt idx="3">
                  <c:v>Mango</c:v>
                </c:pt>
                <c:pt idx="4">
                  <c:v>Pitaja</c:v>
                </c:pt>
                <c:pt idx="5">
                  <c:v>Truskawka</c:v>
                </c:pt>
                <c:pt idx="6">
                  <c:v>Cytryna</c:v>
                </c:pt>
                <c:pt idx="7">
                  <c:v>Borówka</c:v>
                </c:pt>
              </c:strCache>
            </c:strRef>
          </c:cat>
          <c:val>
            <c:numRef>
              <c:f>Wynik!$B$1:$B$8</c:f>
              <c:numCache>
                <c:formatCode>General</c:formatCode>
                <c:ptCount val="8"/>
                <c:pt idx="0">
                  <c:v>103</c:v>
                </c:pt>
                <c:pt idx="1">
                  <c:v>60</c:v>
                </c:pt>
                <c:pt idx="2">
                  <c:v>116</c:v>
                </c:pt>
                <c:pt idx="3">
                  <c:v>29</c:v>
                </c:pt>
                <c:pt idx="4">
                  <c:v>85</c:v>
                </c:pt>
                <c:pt idx="5">
                  <c:v>49</c:v>
                </c:pt>
                <c:pt idx="6">
                  <c:v>208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D3-42C3-A091-EFA675EE9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64537216"/>
        <c:axId val="1764539136"/>
        <c:axId val="0"/>
      </c:bar3DChart>
      <c:catAx>
        <c:axId val="176453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4539136"/>
        <c:crosses val="autoZero"/>
        <c:auto val="1"/>
        <c:lblAlgn val="ctr"/>
        <c:lblOffset val="100"/>
        <c:noMultiLvlLbl val="0"/>
      </c:catAx>
      <c:valAx>
        <c:axId val="176453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645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52387</xdr:rowOff>
    </xdr:from>
    <xdr:to>
      <xdr:col>10</xdr:col>
      <xdr:colOff>342900</xdr:colOff>
      <xdr:row>14</xdr:row>
      <xdr:rowOff>128587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6D1B17D2-957C-5930-43A4-FFDA67BB0D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0C585C-6AA8-4DA1-A917-757EB429F644}" name="Tabela1" displayName="Tabela1" ref="A1:J9" totalsRowShown="0" headerRowDxfId="5" dataDxfId="6" headerRowBorderDxfId="13" tableBorderDxfId="14" totalsRowBorderDxfId="12">
  <autoFilter ref="A1:J9" xr:uid="{B40C585C-6AA8-4DA1-A917-757EB429F644}"/>
  <tableColumns count="10">
    <tableColumn id="1" xr3:uid="{D58A7266-F62E-4B2E-B5C6-E1A6A8A1645F}" name="Owoc" dataDxfId="11"/>
    <tableColumn id="2" xr3:uid="{75D86AB5-B7ED-443E-B9EC-3DE38E9BC3EC}" name="Słodycz" dataDxfId="10"/>
    <tableColumn id="3" xr3:uid="{EDE3240E-002D-489B-BCEC-16CD8F5CBB7E}" name="Twardość" dataDxfId="9"/>
    <tableColumn id="4" xr3:uid="{278E04BF-94D6-474F-855C-DFB952E93C14}" name="Cena" dataDxfId="8"/>
    <tableColumn id="5" xr3:uid="{E5914BA6-5925-41C7-A795-9F0C95437B8B}" name="Soczystość" dataDxfId="7"/>
    <tableColumn id="6" xr3:uid="{5E011711-AC5A-43DB-923D-534BCB44A1EB}" name="Wygląd" dataDxfId="4"/>
    <tableColumn id="7" xr3:uid="{CF0FB14C-5AE5-4D23-9CAD-D38BB196F6FE}" name="Kwaśność" dataDxfId="3"/>
    <tableColumn id="8" xr3:uid="{3DAD64A4-1F69-4CFE-82F4-CC30122E3668}" name="Kaloryczność" dataDxfId="2"/>
    <tableColumn id="9" xr3:uid="{767EFBAA-BC1D-4062-A61B-19B7CD1145DC}" name="Witaminy" dataDxfId="1"/>
    <tableColumn id="10" xr3:uid="{D8DC645C-AA21-40B8-8B23-DE023D9FDB0E}" name="Kolumna1" dataDxfId="0">
      <calculatedColumnFormula>(B2-Preferencje!$B$2)^2 + (C2-Preferencje!$B$3)^2 + (D2-Preferencje!$B$4)^2 + (E2-Preferencje!$B$5)^2 + (F2-Preferencje!$B$6)^2 + (G2-Preferencje!$B$7)^2 + (H2-Preferencje!$B$8)^2 + (I2-Preferencje!$B$9)^2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C8841-F20E-46F5-A65D-B5E533987157}">
  <dimension ref="A1:J9"/>
  <sheetViews>
    <sheetView workbookViewId="0">
      <selection activeCell="I10" sqref="I10"/>
    </sheetView>
  </sheetViews>
  <sheetFormatPr defaultRowHeight="15" x14ac:dyDescent="0.25"/>
  <cols>
    <col min="1" max="1" width="11.5703125" customWidth="1"/>
    <col min="2" max="2" width="11" customWidth="1"/>
    <col min="3" max="3" width="13" customWidth="1"/>
    <col min="4" max="4" width="8.28515625" customWidth="1"/>
    <col min="5" max="5" width="14.85546875" customWidth="1"/>
    <col min="6" max="6" width="10.28515625" customWidth="1"/>
    <col min="7" max="7" width="13.5703125" customWidth="1"/>
    <col min="8" max="8" width="16.7109375" customWidth="1"/>
    <col min="9" max="9" width="12" customWidth="1"/>
    <col min="10" max="10" width="9.140625" hidden="1" customWidth="1"/>
  </cols>
  <sheetData>
    <row r="1" spans="1:10" ht="30.75" thickBot="1" x14ac:dyDescent="0.3">
      <c r="A1" s="7" t="s">
        <v>0</v>
      </c>
      <c r="B1" s="8" t="s">
        <v>1</v>
      </c>
      <c r="C1" s="8" t="s">
        <v>2</v>
      </c>
      <c r="D1" s="8" t="s">
        <v>8</v>
      </c>
      <c r="E1" s="9" t="s">
        <v>3</v>
      </c>
      <c r="F1" s="8" t="s">
        <v>11</v>
      </c>
      <c r="G1" s="8" t="s">
        <v>13</v>
      </c>
      <c r="H1" s="8" t="s">
        <v>15</v>
      </c>
      <c r="I1" s="8" t="s">
        <v>16</v>
      </c>
      <c r="J1" s="8" t="s">
        <v>18</v>
      </c>
    </row>
    <row r="2" spans="1:10" ht="15.75" thickBot="1" x14ac:dyDescent="0.3">
      <c r="A2" s="2" t="s">
        <v>4</v>
      </c>
      <c r="B2" s="1">
        <v>6</v>
      </c>
      <c r="C2" s="1">
        <v>8</v>
      </c>
      <c r="D2" s="1">
        <v>2</v>
      </c>
      <c r="E2" s="3">
        <v>5</v>
      </c>
      <c r="F2" s="10">
        <v>6</v>
      </c>
      <c r="G2" s="10">
        <v>4</v>
      </c>
      <c r="H2" s="10">
        <v>4</v>
      </c>
      <c r="I2" s="10">
        <v>5</v>
      </c>
      <c r="J2" s="10">
        <f>(B2-Preferencje!$B$2)^2 + (C2-Preferencje!$B$3)^2 + (D2-Preferencje!$B$4)^2 + (E2-Preferencje!$B$5)^2 + (F2-Preferencje!$B$6)^2 + (G2-Preferencje!$B$7)^2 + (H2-Preferencje!$B$8)^2 + (I2-Preferencje!$B$9)^2</f>
        <v>103</v>
      </c>
    </row>
    <row r="3" spans="1:10" ht="15.75" thickBot="1" x14ac:dyDescent="0.3">
      <c r="A3" s="2" t="s">
        <v>5</v>
      </c>
      <c r="B3" s="1">
        <v>9</v>
      </c>
      <c r="C3" s="1">
        <v>2</v>
      </c>
      <c r="D3" s="1">
        <v>4</v>
      </c>
      <c r="E3" s="3">
        <v>1</v>
      </c>
      <c r="F3" s="1">
        <v>4</v>
      </c>
      <c r="G3" s="1">
        <v>1</v>
      </c>
      <c r="H3" s="1">
        <v>8</v>
      </c>
      <c r="I3" s="1">
        <v>6</v>
      </c>
      <c r="J3" s="1">
        <f>(B3-Preferencje!$B$2)^2 + (C3-Preferencje!$B$3)^2 + (D3-Preferencje!$B$4)^2 + (E3-Preferencje!$B$5)^2 + (F3-Preferencje!$B$6)^2 + (G3-Preferencje!$B$7)^2 + (H3-Preferencje!$B$8)^2 + (I3-Preferencje!$B$9)^2</f>
        <v>60</v>
      </c>
    </row>
    <row r="4" spans="1:10" ht="15.75" thickBot="1" x14ac:dyDescent="0.3">
      <c r="A4" s="2" t="s">
        <v>6</v>
      </c>
      <c r="B4" s="1">
        <v>8</v>
      </c>
      <c r="C4" s="1">
        <v>1</v>
      </c>
      <c r="D4" s="1">
        <v>5</v>
      </c>
      <c r="E4" s="3">
        <v>10</v>
      </c>
      <c r="F4" s="1">
        <v>7</v>
      </c>
      <c r="G4" s="1">
        <v>2</v>
      </c>
      <c r="H4" s="1">
        <v>2</v>
      </c>
      <c r="I4" s="1">
        <v>4</v>
      </c>
      <c r="J4" s="1">
        <f>(B4-Preferencje!$B$2)^2 + (C4-Preferencje!$B$3)^2 + (D4-Preferencje!$B$4)^2 + (E4-Preferencje!$B$5)^2 + (F4-Preferencje!$B$6)^2 + (G4-Preferencje!$B$7)^2 + (H4-Preferencje!$B$8)^2 + (I4-Preferencje!$B$9)^2</f>
        <v>116</v>
      </c>
    </row>
    <row r="5" spans="1:10" ht="15.75" thickBot="1" x14ac:dyDescent="0.3">
      <c r="A5" s="4" t="s">
        <v>7</v>
      </c>
      <c r="B5" s="5">
        <v>10</v>
      </c>
      <c r="C5" s="5">
        <v>4</v>
      </c>
      <c r="D5" s="5">
        <v>8</v>
      </c>
      <c r="E5" s="6">
        <v>7</v>
      </c>
      <c r="F5" s="1">
        <v>9</v>
      </c>
      <c r="G5" s="1">
        <v>3</v>
      </c>
      <c r="H5" s="1">
        <v>7</v>
      </c>
      <c r="I5" s="1">
        <v>8</v>
      </c>
      <c r="J5" s="1">
        <f>(B5-Preferencje!$B$2)^2 + (C5-Preferencje!$B$3)^2 + (D5-Preferencje!$B$4)^2 + (E5-Preferencje!$B$5)^2 + (F5-Preferencje!$B$6)^2 + (G5-Preferencje!$B$7)^2 + (H5-Preferencje!$B$8)^2 + (I5-Preferencje!$B$9)^2</f>
        <v>29</v>
      </c>
    </row>
    <row r="6" spans="1:10" ht="15.75" thickBot="1" x14ac:dyDescent="0.3">
      <c r="A6" s="4" t="s">
        <v>10</v>
      </c>
      <c r="B6" s="5">
        <v>4</v>
      </c>
      <c r="C6" s="5">
        <v>5</v>
      </c>
      <c r="D6" s="5">
        <v>9</v>
      </c>
      <c r="E6" s="6">
        <v>6</v>
      </c>
      <c r="F6" s="5">
        <v>10</v>
      </c>
      <c r="G6" s="1">
        <v>2</v>
      </c>
      <c r="H6" s="1">
        <v>3</v>
      </c>
      <c r="I6" s="1">
        <v>5</v>
      </c>
      <c r="J6" s="1">
        <f>(B6-Preferencje!$B$2)^2 + (C6-Preferencje!$B$3)^2 + (D6-Preferencje!$B$4)^2 + (E6-Preferencje!$B$5)^2 + (F6-Preferencje!$B$6)^2 + (G6-Preferencje!$B$7)^2 + (H6-Preferencje!$B$8)^2 + (I6-Preferencje!$B$9)^2</f>
        <v>85</v>
      </c>
    </row>
    <row r="7" spans="1:10" ht="15.75" thickBot="1" x14ac:dyDescent="0.3">
      <c r="A7" s="4" t="s">
        <v>12</v>
      </c>
      <c r="B7" s="5">
        <v>8</v>
      </c>
      <c r="C7" s="5">
        <v>3</v>
      </c>
      <c r="D7" s="5">
        <v>7</v>
      </c>
      <c r="E7" s="6">
        <v>8</v>
      </c>
      <c r="F7" s="5">
        <v>9</v>
      </c>
      <c r="G7" s="5">
        <v>5</v>
      </c>
      <c r="H7" s="1">
        <v>3</v>
      </c>
      <c r="I7" s="1">
        <v>9</v>
      </c>
      <c r="J7" s="1">
        <f>(B7-Preferencje!$B$2)^2 + (C7-Preferencje!$B$3)^2 + (D7-Preferencje!$B$4)^2 + (E7-Preferencje!$B$5)^2 + (F7-Preferencje!$B$6)^2 + (G7-Preferencje!$B$7)^2 + (H7-Preferencje!$B$8)^2 + (I7-Preferencje!$B$9)^2</f>
        <v>49</v>
      </c>
    </row>
    <row r="8" spans="1:10" ht="15.75" thickBot="1" x14ac:dyDescent="0.3">
      <c r="A8" s="4" t="s">
        <v>14</v>
      </c>
      <c r="B8" s="5">
        <v>1</v>
      </c>
      <c r="C8" s="5">
        <v>4</v>
      </c>
      <c r="D8" s="5">
        <v>3</v>
      </c>
      <c r="E8" s="6">
        <v>8</v>
      </c>
      <c r="F8" s="5">
        <v>5</v>
      </c>
      <c r="G8" s="5">
        <v>10</v>
      </c>
      <c r="H8" s="5">
        <v>2</v>
      </c>
      <c r="I8" s="5">
        <v>10</v>
      </c>
      <c r="J8" s="1">
        <f>(B8-Preferencje!$B$2)^2 + (C8-Preferencje!$B$3)^2 + (D8-Preferencje!$B$4)^2 + (E8-Preferencje!$B$5)^2 + (F8-Preferencje!$B$6)^2 + (G8-Preferencje!$B$7)^2 + (H8-Preferencje!$B$8)^2 + (I8-Preferencje!$B$9)^2</f>
        <v>208</v>
      </c>
    </row>
    <row r="9" spans="1:10" x14ac:dyDescent="0.25">
      <c r="A9" s="4" t="s">
        <v>17</v>
      </c>
      <c r="B9" s="5">
        <v>7</v>
      </c>
      <c r="C9" s="5">
        <v>3</v>
      </c>
      <c r="D9" s="5">
        <v>8</v>
      </c>
      <c r="E9" s="6">
        <v>5</v>
      </c>
      <c r="F9" s="5">
        <v>8</v>
      </c>
      <c r="G9" s="5">
        <v>4</v>
      </c>
      <c r="H9" s="5">
        <v>3</v>
      </c>
      <c r="I9" s="5">
        <v>9</v>
      </c>
      <c r="J9" s="5">
        <f>(B9-Preferencje!$B$2)^2 + (C9-Preferencje!$B$3)^2 + (D9-Preferencje!$B$4)^2 + (E9-Preferencje!$B$5)^2 + (F9-Preferencje!$B$6)^2 + (G9-Preferencje!$B$7)^2 + (H9-Preferencje!$B$8)^2 + (I9-Preferencje!$B$9)^2</f>
        <v>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FFDF5-2779-494E-B822-4EF68520C5F5}">
  <dimension ref="A1:C10"/>
  <sheetViews>
    <sheetView workbookViewId="0">
      <selection activeCell="J13" sqref="J13"/>
    </sheetView>
  </sheetViews>
  <sheetFormatPr defaultRowHeight="15" x14ac:dyDescent="0.25"/>
  <cols>
    <col min="1" max="1" width="16.42578125" customWidth="1"/>
    <col min="2" max="2" width="11.140625" customWidth="1"/>
  </cols>
  <sheetData>
    <row r="1" spans="1:3" ht="28.5" customHeight="1" x14ac:dyDescent="0.25">
      <c r="A1" s="17" t="s">
        <v>9</v>
      </c>
      <c r="B1" s="17" t="s">
        <v>19</v>
      </c>
      <c r="C1" s="12"/>
    </row>
    <row r="2" spans="1:3" x14ac:dyDescent="0.25">
      <c r="A2" s="16" t="s">
        <v>1</v>
      </c>
      <c r="B2" s="16">
        <v>10</v>
      </c>
      <c r="C2" s="12"/>
    </row>
    <row r="3" spans="1:3" x14ac:dyDescent="0.25">
      <c r="A3" s="16" t="s">
        <v>2</v>
      </c>
      <c r="B3" s="16">
        <v>4</v>
      </c>
      <c r="C3" s="14"/>
    </row>
    <row r="4" spans="1:3" x14ac:dyDescent="0.25">
      <c r="A4" s="16" t="s">
        <v>8</v>
      </c>
      <c r="B4" s="16">
        <v>8</v>
      </c>
      <c r="C4" s="14"/>
    </row>
    <row r="5" spans="1:3" x14ac:dyDescent="0.25">
      <c r="A5" s="16" t="s">
        <v>3</v>
      </c>
      <c r="B5" s="16">
        <v>3</v>
      </c>
      <c r="C5" s="14"/>
    </row>
    <row r="6" spans="1:3" x14ac:dyDescent="0.25">
      <c r="A6" s="16" t="s">
        <v>11</v>
      </c>
      <c r="B6" s="16">
        <v>7</v>
      </c>
      <c r="C6" s="14"/>
    </row>
    <row r="7" spans="1:3" x14ac:dyDescent="0.25">
      <c r="A7" s="16" t="s">
        <v>13</v>
      </c>
      <c r="B7" s="16">
        <v>2</v>
      </c>
      <c r="C7" s="15"/>
    </row>
    <row r="8" spans="1:3" x14ac:dyDescent="0.25">
      <c r="A8" s="16" t="s">
        <v>15</v>
      </c>
      <c r="B8" s="16">
        <v>5</v>
      </c>
      <c r="C8" s="15"/>
    </row>
    <row r="9" spans="1:3" x14ac:dyDescent="0.25">
      <c r="A9" s="16" t="s">
        <v>16</v>
      </c>
      <c r="B9" s="16">
        <v>10</v>
      </c>
      <c r="C9" s="15"/>
    </row>
    <row r="10" spans="1:3" x14ac:dyDescent="0.25">
      <c r="A10" s="11"/>
      <c r="B10" s="13"/>
      <c r="C10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181E-1317-455C-84E0-5700A7ACB7E1}">
  <dimension ref="A1:B8"/>
  <sheetViews>
    <sheetView tabSelected="1" workbookViewId="0">
      <selection activeCell="P17" sqref="P17"/>
    </sheetView>
  </sheetViews>
  <sheetFormatPr defaultRowHeight="15" x14ac:dyDescent="0.25"/>
  <sheetData>
    <row r="1" spans="1:2" x14ac:dyDescent="0.25">
      <c r="A1" t="str" cm="1">
        <f t="array" ref="A1:A8">Baza!A2:A9</f>
        <v>Jabłko</v>
      </c>
      <c r="B1" cm="1">
        <f t="array" ref="B1:B8">Baza!J2:J9</f>
        <v>103</v>
      </c>
    </row>
    <row r="2" spans="1:2" x14ac:dyDescent="0.25">
      <c r="A2" t="str">
        <v>Banan</v>
      </c>
      <c r="B2">
        <v>60</v>
      </c>
    </row>
    <row r="3" spans="1:2" x14ac:dyDescent="0.25">
      <c r="A3" t="str">
        <v>Arbuz</v>
      </c>
      <c r="B3">
        <v>116</v>
      </c>
    </row>
    <row r="4" spans="1:2" x14ac:dyDescent="0.25">
      <c r="A4" t="str">
        <v>Mango</v>
      </c>
      <c r="B4">
        <v>29</v>
      </c>
    </row>
    <row r="5" spans="1:2" x14ac:dyDescent="0.25">
      <c r="A5" t="str">
        <v>Pitaja</v>
      </c>
      <c r="B5">
        <v>85</v>
      </c>
    </row>
    <row r="6" spans="1:2" x14ac:dyDescent="0.25">
      <c r="A6" t="str">
        <v>Truskawka</v>
      </c>
      <c r="B6">
        <v>49</v>
      </c>
    </row>
    <row r="7" spans="1:2" x14ac:dyDescent="0.25">
      <c r="A7" t="str">
        <v>Cytryna</v>
      </c>
      <c r="B7">
        <v>208</v>
      </c>
    </row>
    <row r="8" spans="1:2" x14ac:dyDescent="0.25">
      <c r="A8" t="str">
        <v>Borówka</v>
      </c>
      <c r="B8">
        <v>24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Baza</vt:lpstr>
      <vt:lpstr>Preferencje</vt:lpstr>
      <vt:lpstr>Wynik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Karolak</dc:creator>
  <cp:lastModifiedBy>Dawid Karolak</cp:lastModifiedBy>
  <dcterms:created xsi:type="dcterms:W3CDTF">2026-04-09T12:37:07Z</dcterms:created>
  <dcterms:modified xsi:type="dcterms:W3CDTF">2026-04-09T13:33:20Z</dcterms:modified>
</cp:coreProperties>
</file>