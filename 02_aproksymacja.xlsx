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340512\downloads\"/>
    </mc:Choice>
  </mc:AlternateContent>
  <xr:revisionPtr revIDLastSave="0" documentId="13_ncr:1_{FF3DB071-92DD-4525-B2D2-41C806105F2B}" xr6:coauthVersionLast="47" xr6:coauthVersionMax="47" xr10:uidLastSave="{00000000-0000-0000-0000-000000000000}"/>
  <bookViews>
    <workbookView xWindow="-120" yWindow="-120" windowWidth="29040" windowHeight="15720" xr2:uid="{E7A4ED15-03A9-4B2F-BDDE-DF95BB93EEB3}"/>
  </bookViews>
  <sheets>
    <sheet name="Obliczenia" sheetId="1" r:id="rId1"/>
    <sheet name="Da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H8" i="1" a="1"/>
  <c r="H8" i="1" s="1"/>
  <c r="F12" i="1" s="1"/>
  <c r="A9" i="1"/>
  <c r="B9" i="1"/>
  <c r="D9" i="1" s="1"/>
  <c r="C9" i="1"/>
  <c r="A10" i="1"/>
  <c r="B10" i="1"/>
  <c r="D10" i="1" s="1"/>
  <c r="C10" i="1"/>
  <c r="A11" i="1"/>
  <c r="B11" i="1"/>
  <c r="C11" i="1"/>
  <c r="D11" i="1"/>
  <c r="E11" i="1"/>
  <c r="A12" i="1"/>
  <c r="B12" i="1"/>
  <c r="D12" i="1" s="1"/>
  <c r="C12" i="1"/>
  <c r="A13" i="1"/>
  <c r="B13" i="1"/>
  <c r="E13" i="1" s="1"/>
  <c r="C13" i="1"/>
  <c r="A14" i="1"/>
  <c r="B14" i="1"/>
  <c r="C14" i="1"/>
  <c r="D14" i="1"/>
  <c r="E14" i="1"/>
  <c r="A15" i="1"/>
  <c r="B15" i="1"/>
  <c r="D15" i="1" s="1"/>
  <c r="C15" i="1"/>
  <c r="A16" i="1"/>
  <c r="B16" i="1"/>
  <c r="D16" i="1" s="1"/>
  <c r="C16" i="1"/>
  <c r="A17" i="1"/>
  <c r="B17" i="1"/>
  <c r="C17" i="1"/>
  <c r="D17" i="1"/>
  <c r="E17" i="1"/>
  <c r="A18" i="1"/>
  <c r="B18" i="1"/>
  <c r="D18" i="1" s="1"/>
  <c r="C18" i="1"/>
  <c r="A19" i="1"/>
  <c r="B19" i="1"/>
  <c r="C19" i="1"/>
  <c r="A20" i="1"/>
  <c r="B20" i="1"/>
  <c r="D20" i="1"/>
  <c r="E20" i="1"/>
  <c r="C2" i="1"/>
  <c r="I2" i="1" s="1"/>
  <c r="C3" i="1"/>
  <c r="C4" i="1"/>
  <c r="C5" i="1"/>
  <c r="D5" i="1" s="1"/>
  <c r="C6" i="1"/>
  <c r="C7" i="1"/>
  <c r="C8" i="1"/>
  <c r="C1" i="1"/>
  <c r="B2" i="1"/>
  <c r="E2" i="1" s="1"/>
  <c r="B3" i="1"/>
  <c r="E3" i="1" s="1"/>
  <c r="B4" i="1"/>
  <c r="B5" i="1"/>
  <c r="B6" i="1"/>
  <c r="B7" i="1"/>
  <c r="E7" i="1" s="1"/>
  <c r="B8" i="1"/>
  <c r="E8" i="1" s="1"/>
  <c r="B1" i="1"/>
  <c r="A2" i="1"/>
  <c r="I6" i="1" s="1"/>
  <c r="A3" i="1"/>
  <c r="A4" i="1"/>
  <c r="A5" i="1"/>
  <c r="A6" i="1"/>
  <c r="A7" i="1"/>
  <c r="A8" i="1"/>
  <c r="A1" i="1"/>
  <c r="E4" i="1"/>
  <c r="E6" i="1"/>
  <c r="D3" i="1"/>
  <c r="D4" i="1"/>
  <c r="F10" i="1" l="1"/>
  <c r="F9" i="1"/>
  <c r="F2" i="1"/>
  <c r="F20" i="1"/>
  <c r="F19" i="1"/>
  <c r="F4" i="1"/>
  <c r="F15" i="1"/>
  <c r="F11" i="1"/>
  <c r="F8" i="1"/>
  <c r="F6" i="1"/>
  <c r="F18" i="1"/>
  <c r="F17" i="1"/>
  <c r="F3" i="1"/>
  <c r="F16" i="1"/>
  <c r="F14" i="1"/>
  <c r="F7" i="1"/>
  <c r="F5" i="1"/>
  <c r="F13" i="1"/>
  <c r="I4" i="1"/>
  <c r="D19" i="1"/>
  <c r="E15" i="1"/>
  <c r="E12" i="1"/>
  <c r="E18" i="1"/>
  <c r="E9" i="1"/>
  <c r="D2" i="1"/>
  <c r="I1" i="1"/>
  <c r="I5" i="1" s="1"/>
  <c r="D6" i="1"/>
  <c r="D13" i="1"/>
  <c r="E10" i="1"/>
  <c r="D7" i="1"/>
  <c r="E19" i="1"/>
  <c r="E16" i="1"/>
  <c r="D8" i="1"/>
  <c r="E5" i="1"/>
  <c r="I3" i="1" l="1"/>
  <c r="L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<sst xmlns="http://schemas.openxmlformats.org/spreadsheetml/2006/main" count="16" uniqueCount="16">
  <si>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i</t>
  </si>
  <si>
    <t>x</t>
  </si>
  <si>
    <t>y</t>
  </si>
  <si>
    <t>xy</t>
  </si>
  <si>
    <t xml:space="preserve">∑x = </t>
  </si>
  <si>
    <t xml:space="preserve">∑y = </t>
  </si>
  <si>
    <r>
      <t>x</t>
    </r>
    <r>
      <rPr>
        <vertAlign val="superscript"/>
        <sz val="14"/>
        <color theme="1"/>
        <rFont val="Aptos Narrow"/>
        <family val="2"/>
        <scheme val="minor"/>
      </rPr>
      <t>2</t>
    </r>
  </si>
  <si>
    <t xml:space="preserve">∑xy = </t>
  </si>
  <si>
    <r>
      <t>∑x</t>
    </r>
    <r>
      <rPr>
        <vertAlign val="superscript"/>
        <sz val="14"/>
        <color theme="1"/>
        <rFont val="Aptos Narrow"/>
        <family val="2"/>
        <scheme val="minor"/>
      </rPr>
      <t>2</t>
    </r>
    <r>
      <rPr>
        <sz val="14"/>
        <color theme="1"/>
        <rFont val="Aptos Narrow"/>
        <family val="2"/>
        <scheme val="minor"/>
      </rPr>
      <t xml:space="preserve"> = </t>
    </r>
  </si>
  <si>
    <r>
      <t>(∑x)</t>
    </r>
    <r>
      <rPr>
        <vertAlign val="superscript"/>
        <sz val="14"/>
        <color theme="1"/>
        <rFont val="Aptos Narrow"/>
        <family val="2"/>
        <scheme val="minor"/>
      </rPr>
      <t>2</t>
    </r>
    <r>
      <rPr>
        <sz val="14"/>
        <color theme="1"/>
        <rFont val="Aptos Narrow"/>
        <family val="2"/>
        <scheme val="minor"/>
      </rPr>
      <t xml:space="preserve"> = </t>
    </r>
  </si>
  <si>
    <t xml:space="preserve">n = </t>
  </si>
  <si>
    <t>Y</t>
  </si>
  <si>
    <t>a</t>
  </si>
  <si>
    <t>b</t>
  </si>
  <si>
    <r>
      <t>a</t>
    </r>
    <r>
      <rPr>
        <vertAlign val="subscript"/>
        <sz val="14"/>
        <color theme="1"/>
        <rFont val="Aptos Narrow"/>
        <family val="2"/>
        <scheme val="minor"/>
      </rPr>
      <t>1</t>
    </r>
    <r>
      <rPr>
        <sz val="14"/>
        <color theme="1"/>
        <rFont val="Aptos Narrow"/>
        <family val="2"/>
        <charset val="238"/>
        <scheme val="minor"/>
      </rPr>
      <t xml:space="preserve"> = </t>
    </r>
  </si>
  <si>
    <r>
      <t>a</t>
    </r>
    <r>
      <rPr>
        <vertAlign val="subscript"/>
        <sz val="14"/>
        <color theme="1"/>
        <rFont val="Aptos Narrow"/>
        <family val="2"/>
        <scheme val="minor"/>
      </rPr>
      <t>0</t>
    </r>
    <r>
      <rPr>
        <sz val="14"/>
        <color theme="1"/>
        <rFont val="Aptos Narrow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</si>
</sst>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sz val="14"/>
      <color theme="1"/>
      <name val="Aptos Narrow"/>
      <family val="2"/>
    </font>
    <font>
      <sz val="14"/>
      <color theme="1"/>
      <name val="Aptos Narrow"/>
      <family val="2"/>
      <scheme val="minor"/>
    </font>
    <font>
      <vertAlign val="superscript"/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580927384076992E-2"/>
          <c:y val="0.12040298372423158"/>
          <c:w val="0.90297462817147855"/>
          <c:h val="0.82348159852194103"/>
        </c:manualLayout>
      </c:layout>
      <c:lineChart>
        <c:grouping val="standard"/>
        <c:varyColors val="0"/>
        <c:ser>
          <c:idx val="1"/>
          <c:order val="0"/>
          <c:tx>
            <c:strRef>
              <c:f>Obliczenia!$C$1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5875">
                <a:noFill/>
              </a:ln>
              <a:effectLst/>
            </c:spPr>
          </c:marker>
          <c:cat>
            <c:numRef>
              <c:f>Obliczenia!$B$2:$B$8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Obliczenia!$C$2:$C$20</c:f>
              <c:numCache>
                <c:formatCode>General</c:formatCode>
                <c:ptCount val="19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9</c:v>
                </c:pt>
                <c:pt idx="9">
                  <c:v>2</c:v>
                </c:pt>
                <c:pt idx="10">
                  <c:v>8</c:v>
                </c:pt>
                <c:pt idx="11">
                  <c:v>3</c:v>
                </c:pt>
                <c:pt idx="12">
                  <c:v>7</c:v>
                </c:pt>
                <c:pt idx="13">
                  <c:v>4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0-4F9E-8EC7-0DB1EEC9DEC9}"/>
            </c:ext>
          </c:extLst>
        </c:ser>
        <c:ser>
          <c:idx val="0"/>
          <c:order val="1"/>
          <c:tx>
            <c:strRef>
              <c:f>Obliczenia!$F$1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Obliczenia!$F$2:$F$20</c:f>
              <c:numCache>
                <c:formatCode>General</c:formatCode>
                <c:ptCount val="19"/>
                <c:pt idx="0">
                  <c:v>4.4210526315789469</c:v>
                </c:pt>
                <c:pt idx="1">
                  <c:v>4.4561403508771926</c:v>
                </c:pt>
                <c:pt idx="2">
                  <c:v>4.4912280701754383</c:v>
                </c:pt>
                <c:pt idx="3">
                  <c:v>4.5263157894736832</c:v>
                </c:pt>
                <c:pt idx="4">
                  <c:v>4.5614035087719289</c:v>
                </c:pt>
                <c:pt idx="5">
                  <c:v>4.5964912280701746</c:v>
                </c:pt>
                <c:pt idx="6">
                  <c:v>4.6315789473684204</c:v>
                </c:pt>
                <c:pt idx="7">
                  <c:v>4.6666666666666661</c:v>
                </c:pt>
                <c:pt idx="8">
                  <c:v>4.7017543859649118</c:v>
                </c:pt>
                <c:pt idx="9">
                  <c:v>4.7368421052631575</c:v>
                </c:pt>
                <c:pt idx="10">
                  <c:v>4.7719298245614024</c:v>
                </c:pt>
                <c:pt idx="11">
                  <c:v>4.8070175438596481</c:v>
                </c:pt>
                <c:pt idx="12">
                  <c:v>4.8421052631578938</c:v>
                </c:pt>
                <c:pt idx="13">
                  <c:v>4.8771929824561395</c:v>
                </c:pt>
                <c:pt idx="14">
                  <c:v>4.9122807017543852</c:v>
                </c:pt>
                <c:pt idx="15">
                  <c:v>4.947368421052631</c:v>
                </c:pt>
                <c:pt idx="16">
                  <c:v>4.9824561403508767</c:v>
                </c:pt>
                <c:pt idx="17">
                  <c:v>5.0175438596491215</c:v>
                </c:pt>
                <c:pt idx="18">
                  <c:v>5.0526315789473673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6-479D-9151-5E1CA082F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762720"/>
        <c:axId val="693748800"/>
      </c:lineChart>
      <c:catAx>
        <c:axId val="69376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3748800"/>
        <c:crosses val="autoZero"/>
        <c:auto val="1"/>
        <c:lblAlgn val="ctr"/>
        <c:lblOffset val="100"/>
        <c:noMultiLvlLbl val="0"/>
      </c:catAx>
      <c:valAx>
        <c:axId val="6937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37627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9</xdr:row>
      <xdr:rowOff>60007</xdr:rowOff>
    </xdr:from>
    <xdr:to>
      <xdr:col>14</xdr:col>
      <xdr:colOff>373380</xdr:colOff>
      <xdr:row>26</xdr:row>
      <xdr:rowOff>112395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8E7479E-CD23-E2E0-5399-E1DDD3CB4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579120</xdr:colOff>
      <xdr:row>9</xdr:row>
      <xdr:rowOff>85725</xdr:rowOff>
    </xdr:from>
    <xdr:to>
      <xdr:col>23</xdr:col>
      <xdr:colOff>583565</xdr:colOff>
      <xdr:row>27</xdr:row>
      <xdr:rowOff>40005</xdr:rowOff>
    </xdr:to>
    <xdr:pic>
      <xdr:nvPicPr>
        <xdr:cNvPr id="3" name="Obraz 2" descr="Obraz zawierający tekst, Czcionka, diagram, zrzut ekranu&#10;&#10;Zawartość wygenerowana przez sztuczną inteligencję może być niepoprawna.">
          <a:extLst>
            <a:ext uri="{FF2B5EF4-FFF2-40B4-BE49-F238E27FC236}">
              <a16:creationId xmlns:a16="http://schemas.microsoft.com/office/drawing/2014/main" id="{04DC3FBE-B9A3-0172-6D72-CA98D8AA5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1170" y="2314575"/>
          <a:ext cx="5490845" cy="42405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2</xdr:row>
          <xdr:rowOff>0</xdr:rowOff>
        </xdr:from>
        <xdr:to>
          <xdr:col>16</xdr:col>
          <xdr:colOff>28575</xdr:colOff>
          <xdr:row>3</xdr:row>
          <xdr:rowOff>19050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l-PL" sz="1100" b="0" i="0" u="none" strike="noStrike" baseline="0">
                  <a:solidFill>
                    <a:srgbClr val="000000"/>
                  </a:solidFill>
                  <a:latin typeface="Aptos Narrow"/>
                </a:rPr>
                <a:t>Przycisk 2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DB6F-FD32-470D-B7A1-5D07F0BB06D5}">
  <sheetPr codeName="Arkusz1"/>
  <dimension ref="A1:N41"/>
  <sheetViews>
    <sheetView tabSelected="1" workbookViewId="0">
      <selection activeCell="L5" sqref="L5"/>
    </sheetView>
  </sheetViews>
  <sheetFormatPr defaultRowHeight="15" x14ac:dyDescent="0.25"/>
  <cols>
    <col min="1" max="1" width="12.85546875" bestFit="1" customWidth="1"/>
  </cols>
  <sheetData>
    <row r="1" spans="1:14" ht="22.5" x14ac:dyDescent="0.4">
      <c r="A1" s="4" t="str">
        <f>Dane!A1</f>
        <v>i</v>
      </c>
      <c r="B1" s="4" t="str">
        <f>Dane!B1</f>
        <v>x</v>
      </c>
      <c r="C1" s="4" t="str">
        <f>Dane!C1</f>
        <v>y</v>
      </c>
      <c r="D1" s="4" t="s">
        <v>3</v>
      </c>
      <c r="E1" s="5" t="s">
        <v>6</v>
      </c>
      <c r="F1" s="5" t="s">
        <v>11</v>
      </c>
      <c r="G1" s="4"/>
      <c r="H1" s="3" t="s">
        <v>4</v>
      </c>
      <c r="I1" s="4">
        <f>SUM(B2:B20)</f>
        <v>190</v>
      </c>
      <c r="K1" s="2" t="s">
        <v>14</v>
      </c>
      <c r="L1" s="2">
        <f>(I6*I3-(I1)*(I2))/(I6*(I4)-(I1))</f>
        <v>8.130081300813009E-3</v>
      </c>
      <c r="N1">
        <v>920</v>
      </c>
    </row>
    <row r="2" spans="1:14" ht="21.75" x14ac:dyDescent="0.4">
      <c r="A2" s="4">
        <f>Dane!A2</f>
        <v>0</v>
      </c>
      <c r="B2" s="4">
        <f>Dane!B2</f>
        <v>1</v>
      </c>
      <c r="C2" s="4">
        <f>Dane!C2</f>
        <v>4</v>
      </c>
      <c r="D2" s="4">
        <f>B2*C2</f>
        <v>4</v>
      </c>
      <c r="E2" s="4">
        <f>B2^2</f>
        <v>1</v>
      </c>
      <c r="F2" s="4">
        <f>$H$8*B2+$I$8</f>
        <v>4.4210526315789469</v>
      </c>
      <c r="G2" s="4"/>
      <c r="H2" s="4" t="s">
        <v>5</v>
      </c>
      <c r="I2" s="4">
        <f>SUM(C2:C20)</f>
        <v>90</v>
      </c>
      <c r="K2" s="2" t="s">
        <v>15</v>
      </c>
      <c r="L2" s="2">
        <f>((I4)*(I2)-(I3)*(I1))/(I6*(I4)-(I5))</f>
        <v>4.3859649122807021</v>
      </c>
    </row>
    <row r="3" spans="1:14" ht="18.75" x14ac:dyDescent="0.3">
      <c r="A3" s="4">
        <f>Dane!A3</f>
        <v>1</v>
      </c>
      <c r="B3" s="4">
        <f>Dane!B3</f>
        <v>2</v>
      </c>
      <c r="C3" s="4">
        <f>Dane!C3</f>
        <v>2</v>
      </c>
      <c r="D3" s="4">
        <f t="shared" ref="D3:D8" si="0">B3*C3</f>
        <v>4</v>
      </c>
      <c r="E3" s="4">
        <f t="shared" ref="E3:E8" si="1">B3^2</f>
        <v>4</v>
      </c>
      <c r="F3" s="4">
        <f t="shared" ref="F3:F20" si="2">$H$8*B3+$I$8</f>
        <v>4.4561403508771926</v>
      </c>
      <c r="G3" s="4"/>
      <c r="H3" s="4" t="s">
        <v>7</v>
      </c>
      <c r="I3" s="4">
        <f>SUM(D2:D20)</f>
        <v>920</v>
      </c>
    </row>
    <row r="4" spans="1:14" ht="21" x14ac:dyDescent="0.3">
      <c r="A4" s="4">
        <f>Dane!A4</f>
        <v>2</v>
      </c>
      <c r="B4" s="4">
        <f>Dane!B4</f>
        <v>3</v>
      </c>
      <c r="C4" s="4">
        <f>Dane!C4</f>
        <v>6</v>
      </c>
      <c r="D4" s="4">
        <f t="shared" si="0"/>
        <v>18</v>
      </c>
      <c r="E4" s="4">
        <f t="shared" si="1"/>
        <v>9</v>
      </c>
      <c r="F4" s="4">
        <f t="shared" si="2"/>
        <v>4.4912280701754383</v>
      </c>
      <c r="G4" s="4"/>
      <c r="H4" s="4" t="s">
        <v>8</v>
      </c>
      <c r="I4" s="4">
        <f>SUM(E2:E20)</f>
        <v>2470</v>
      </c>
    </row>
    <row r="5" spans="1:14" ht="21" x14ac:dyDescent="0.3">
      <c r="A5" s="4">
        <f>Dane!A5</f>
        <v>3</v>
      </c>
      <c r="B5" s="4">
        <f>Dane!B5</f>
        <v>4</v>
      </c>
      <c r="C5" s="4">
        <f>Dane!C5</f>
        <v>2</v>
      </c>
      <c r="D5" s="4">
        <f t="shared" si="0"/>
        <v>8</v>
      </c>
      <c r="E5" s="4">
        <f t="shared" si="1"/>
        <v>16</v>
      </c>
      <c r="F5" s="4">
        <f t="shared" si="2"/>
        <v>4.5263157894736832</v>
      </c>
      <c r="G5" s="4"/>
      <c r="H5" s="4" t="s">
        <v>9</v>
      </c>
      <c r="I5" s="4">
        <f>I1^2</f>
        <v>36100</v>
      </c>
    </row>
    <row r="6" spans="1:14" ht="18.75" x14ac:dyDescent="0.3">
      <c r="A6" s="4">
        <f>Dane!A6</f>
        <v>4</v>
      </c>
      <c r="B6" s="4">
        <f>Dane!B6</f>
        <v>5</v>
      </c>
      <c r="C6" s="4">
        <f>Dane!C6</f>
        <v>9</v>
      </c>
      <c r="D6" s="4">
        <f t="shared" si="0"/>
        <v>45</v>
      </c>
      <c r="E6" s="4">
        <f t="shared" si="1"/>
        <v>25</v>
      </c>
      <c r="F6" s="4">
        <f t="shared" si="2"/>
        <v>4.5614035087719289</v>
      </c>
      <c r="G6" s="4"/>
      <c r="H6" s="4" t="s">
        <v>10</v>
      </c>
      <c r="I6" s="4">
        <f>COUNTA(A2:A20)</f>
        <v>19</v>
      </c>
    </row>
    <row r="7" spans="1:14" ht="18.75" x14ac:dyDescent="0.3">
      <c r="A7" s="4">
        <f>Dane!A7</f>
        <v>5</v>
      </c>
      <c r="B7" s="4">
        <f>Dane!B7</f>
        <v>6</v>
      </c>
      <c r="C7" s="4">
        <f>Dane!C7</f>
        <v>5</v>
      </c>
      <c r="D7" s="4">
        <f t="shared" si="0"/>
        <v>30</v>
      </c>
      <c r="E7" s="4">
        <f t="shared" si="1"/>
        <v>36</v>
      </c>
      <c r="F7" s="4">
        <f t="shared" si="2"/>
        <v>4.5964912280701746</v>
      </c>
      <c r="G7" s="4"/>
      <c r="H7" s="4" t="s">
        <v>12</v>
      </c>
      <c r="I7" s="4" t="s">
        <v>13</v>
      </c>
    </row>
    <row r="8" spans="1:14" ht="18.75" x14ac:dyDescent="0.3">
      <c r="A8" s="4">
        <f>Dane!A8</f>
        <v>6</v>
      </c>
      <c r="B8" s="4">
        <f>Dane!B8</f>
        <v>7</v>
      </c>
      <c r="C8" s="4">
        <f>Dane!C8</f>
        <v>4</v>
      </c>
      <c r="D8" s="4">
        <f t="shared" si="0"/>
        <v>28</v>
      </c>
      <c r="E8" s="4">
        <f t="shared" si="1"/>
        <v>49</v>
      </c>
      <c r="F8" s="4">
        <f t="shared" si="2"/>
        <v>4.6315789473684204</v>
      </c>
      <c r="G8" s="4"/>
      <c r="H8" s="4" cm="1">
        <f t="array" ref="H8:I8">LINEST(C2:C20,B2:B20)</f>
        <v>3.5087719298245598E-2</v>
      </c>
      <c r="I8" s="4">
        <v>4.3859649122807012</v>
      </c>
    </row>
    <row r="9" spans="1:14" ht="18.75" x14ac:dyDescent="0.3">
      <c r="A9" s="4">
        <f>Dane!A9</f>
        <v>7</v>
      </c>
      <c r="B9" s="4">
        <f>Dane!B9</f>
        <v>8</v>
      </c>
      <c r="C9" s="4">
        <f>Dane!C9</f>
        <v>1</v>
      </c>
      <c r="D9" s="4">
        <f t="shared" ref="D9:D20" si="3">B9*C9</f>
        <v>8</v>
      </c>
      <c r="E9" s="4">
        <f t="shared" ref="E9:E20" si="4">B9^2</f>
        <v>64</v>
      </c>
      <c r="F9" s="4">
        <f t="shared" si="2"/>
        <v>4.6666666666666661</v>
      </c>
      <c r="G9" s="4"/>
      <c r="H9" s="4"/>
      <c r="I9" s="4"/>
    </row>
    <row r="10" spans="1:14" ht="18.75" x14ac:dyDescent="0.3">
      <c r="A10" s="4">
        <f>Dane!A10</f>
        <v>8</v>
      </c>
      <c r="B10" s="4">
        <f>Dane!B10</f>
        <v>9</v>
      </c>
      <c r="C10" s="4">
        <f>Dane!C10</f>
        <v>9</v>
      </c>
      <c r="D10" s="4">
        <f t="shared" si="3"/>
        <v>81</v>
      </c>
      <c r="E10" s="4">
        <f t="shared" si="4"/>
        <v>81</v>
      </c>
      <c r="F10" s="4">
        <f t="shared" si="2"/>
        <v>4.7017543859649118</v>
      </c>
      <c r="I10" s="4"/>
    </row>
    <row r="11" spans="1:14" ht="18.75" x14ac:dyDescent="0.3">
      <c r="A11" s="4">
        <f>Dane!A11</f>
        <v>9</v>
      </c>
      <c r="B11" s="4">
        <f>Dane!B11</f>
        <v>10</v>
      </c>
      <c r="C11" s="4">
        <f>Dane!C11</f>
        <v>2</v>
      </c>
      <c r="D11" s="4">
        <f t="shared" si="3"/>
        <v>20</v>
      </c>
      <c r="E11" s="4">
        <f t="shared" si="4"/>
        <v>100</v>
      </c>
      <c r="F11" s="4">
        <f t="shared" si="2"/>
        <v>4.7368421052631575</v>
      </c>
      <c r="I11" s="4"/>
    </row>
    <row r="12" spans="1:14" ht="18.75" x14ac:dyDescent="0.3">
      <c r="A12" s="4">
        <f>Dane!A12</f>
        <v>10</v>
      </c>
      <c r="B12" s="4">
        <f>Dane!B12</f>
        <v>11</v>
      </c>
      <c r="C12" s="4">
        <f>Dane!C12</f>
        <v>8</v>
      </c>
      <c r="D12" s="4">
        <f t="shared" si="3"/>
        <v>88</v>
      </c>
      <c r="E12" s="4">
        <f t="shared" si="4"/>
        <v>121</v>
      </c>
      <c r="F12" s="4">
        <f t="shared" si="2"/>
        <v>4.7719298245614024</v>
      </c>
      <c r="I12" s="4"/>
    </row>
    <row r="13" spans="1:14" ht="18.75" x14ac:dyDescent="0.3">
      <c r="A13" s="4">
        <f>Dane!A13</f>
        <v>11</v>
      </c>
      <c r="B13" s="4">
        <f>Dane!B13</f>
        <v>12</v>
      </c>
      <c r="C13" s="4">
        <f>Dane!C13</f>
        <v>3</v>
      </c>
      <c r="D13" s="4">
        <f t="shared" si="3"/>
        <v>36</v>
      </c>
      <c r="E13" s="4">
        <f t="shared" si="4"/>
        <v>144</v>
      </c>
      <c r="F13" s="4">
        <f t="shared" si="2"/>
        <v>4.8070175438596481</v>
      </c>
      <c r="I13" s="4"/>
    </row>
    <row r="14" spans="1:14" ht="18.75" x14ac:dyDescent="0.3">
      <c r="A14" s="4">
        <f>Dane!A14</f>
        <v>12</v>
      </c>
      <c r="B14" s="4">
        <f>Dane!B14</f>
        <v>13</v>
      </c>
      <c r="C14" s="4">
        <f>Dane!C14</f>
        <v>7</v>
      </c>
      <c r="D14" s="4">
        <f t="shared" si="3"/>
        <v>91</v>
      </c>
      <c r="E14" s="4">
        <f t="shared" si="4"/>
        <v>169</v>
      </c>
      <c r="F14" s="4">
        <f t="shared" si="2"/>
        <v>4.8421052631578938</v>
      </c>
      <c r="I14" s="4"/>
    </row>
    <row r="15" spans="1:14" ht="18.75" x14ac:dyDescent="0.3">
      <c r="A15" s="4">
        <f>Dane!A15</f>
        <v>13</v>
      </c>
      <c r="B15" s="4">
        <f>Dane!B15</f>
        <v>14</v>
      </c>
      <c r="C15" s="4">
        <f>Dane!C15</f>
        <v>4</v>
      </c>
      <c r="D15" s="4">
        <f t="shared" si="3"/>
        <v>56</v>
      </c>
      <c r="E15" s="4">
        <f t="shared" si="4"/>
        <v>196</v>
      </c>
      <c r="F15" s="4">
        <f t="shared" si="2"/>
        <v>4.8771929824561395</v>
      </c>
      <c r="I15" s="4"/>
    </row>
    <row r="16" spans="1:14" ht="18.75" x14ac:dyDescent="0.3">
      <c r="A16" s="4">
        <f>Dane!A16</f>
        <v>14</v>
      </c>
      <c r="B16" s="4">
        <f>Dane!B16</f>
        <v>15</v>
      </c>
      <c r="C16" s="4">
        <f>Dane!C16</f>
        <v>6</v>
      </c>
      <c r="D16" s="4">
        <f t="shared" si="3"/>
        <v>90</v>
      </c>
      <c r="E16" s="4">
        <f t="shared" si="4"/>
        <v>225</v>
      </c>
      <c r="F16" s="4">
        <f t="shared" si="2"/>
        <v>4.9122807017543852</v>
      </c>
      <c r="I16" s="4"/>
    </row>
    <row r="17" spans="1:10" ht="18.75" x14ac:dyDescent="0.3">
      <c r="A17" s="4">
        <f>Dane!A17</f>
        <v>15</v>
      </c>
      <c r="B17" s="4">
        <f>Dane!B17</f>
        <v>16</v>
      </c>
      <c r="C17" s="4">
        <f>Dane!C17</f>
        <v>5</v>
      </c>
      <c r="D17" s="4">
        <f t="shared" si="3"/>
        <v>80</v>
      </c>
      <c r="E17" s="4">
        <f t="shared" si="4"/>
        <v>256</v>
      </c>
      <c r="F17" s="4">
        <f t="shared" si="2"/>
        <v>4.947368421052631</v>
      </c>
      <c r="I17" s="4"/>
    </row>
    <row r="18" spans="1:10" ht="18.75" x14ac:dyDescent="0.3">
      <c r="A18" s="4">
        <f>Dane!A18</f>
        <v>16</v>
      </c>
      <c r="B18" s="4">
        <f>Dane!B18</f>
        <v>17</v>
      </c>
      <c r="C18" s="4">
        <f>Dane!C18</f>
        <v>4</v>
      </c>
      <c r="D18" s="4">
        <f t="shared" si="3"/>
        <v>68</v>
      </c>
      <c r="E18" s="4">
        <f t="shared" si="4"/>
        <v>289</v>
      </c>
      <c r="F18" s="4">
        <f t="shared" si="2"/>
        <v>4.9824561403508767</v>
      </c>
      <c r="I18" s="4"/>
    </row>
    <row r="19" spans="1:10" ht="18.75" x14ac:dyDescent="0.3">
      <c r="A19" s="4">
        <f>Dane!A19</f>
        <v>17</v>
      </c>
      <c r="B19" s="4">
        <f>Dane!B19</f>
        <v>18</v>
      </c>
      <c r="C19" s="4">
        <f>Dane!C19</f>
        <v>6</v>
      </c>
      <c r="D19" s="4">
        <f t="shared" si="3"/>
        <v>108</v>
      </c>
      <c r="E19" s="4">
        <f t="shared" si="4"/>
        <v>324</v>
      </c>
      <c r="F19" s="4">
        <f t="shared" si="2"/>
        <v>5.0175438596491215</v>
      </c>
      <c r="I19" s="4"/>
    </row>
    <row r="20" spans="1:10" ht="18.75" x14ac:dyDescent="0.3">
      <c r="A20" s="4">
        <f>Dane!A20</f>
        <v>18</v>
      </c>
      <c r="B20" s="4">
        <f>Dane!B20</f>
        <v>19</v>
      </c>
      <c r="C20" s="4">
        <v>3</v>
      </c>
      <c r="D20" s="4">
        <f t="shared" si="3"/>
        <v>57</v>
      </c>
      <c r="E20" s="4">
        <f t="shared" si="4"/>
        <v>361</v>
      </c>
      <c r="F20" s="4">
        <f t="shared" si="2"/>
        <v>5.0526315789473673</v>
      </c>
      <c r="I20" s="4"/>
    </row>
    <row r="21" spans="1:10" ht="18.75" x14ac:dyDescent="0.3">
      <c r="I21" s="4"/>
    </row>
    <row r="22" spans="1:10" ht="18.75" x14ac:dyDescent="0.3">
      <c r="A22" s="1"/>
      <c r="B22" s="1"/>
      <c r="C22" s="1"/>
      <c r="D22" s="1"/>
      <c r="E22" s="1"/>
      <c r="F22" s="1"/>
      <c r="G22" s="1"/>
      <c r="I22" s="4"/>
    </row>
    <row r="23" spans="1:10" ht="18.75" x14ac:dyDescent="0.3">
      <c r="I23" s="4"/>
    </row>
    <row r="24" spans="1:10" ht="18.75" x14ac:dyDescent="0.3">
      <c r="I24" s="4"/>
    </row>
    <row r="25" spans="1:10" ht="18.75" x14ac:dyDescent="0.3">
      <c r="I25" s="4"/>
    </row>
    <row r="26" spans="1:10" ht="18.75" x14ac:dyDescent="0.3">
      <c r="I26" s="4"/>
    </row>
    <row r="27" spans="1:10" ht="18.75" x14ac:dyDescent="0.3">
      <c r="A27" s="1"/>
      <c r="B27" s="1"/>
      <c r="C27" s="1"/>
      <c r="D27" s="1"/>
      <c r="E27" s="1"/>
      <c r="F27" s="1"/>
      <c r="G27" s="1"/>
      <c r="H27" s="1"/>
      <c r="I27" s="4"/>
      <c r="J27" s="1"/>
    </row>
    <row r="28" spans="1:10" ht="18.75" x14ac:dyDescent="0.3">
      <c r="I28" s="4"/>
    </row>
    <row r="29" spans="1:10" ht="18.75" x14ac:dyDescent="0.3">
      <c r="I29" s="4"/>
    </row>
    <row r="30" spans="1:10" ht="18.75" x14ac:dyDescent="0.3">
      <c r="I30" s="4"/>
    </row>
    <row r="31" spans="1:10" ht="18.75" x14ac:dyDescent="0.3">
      <c r="I31" s="4"/>
    </row>
    <row r="32" spans="1:10" ht="18.75" x14ac:dyDescent="0.3">
      <c r="I32" s="4"/>
    </row>
    <row r="33" spans="9:9" ht="18.75" x14ac:dyDescent="0.3">
      <c r="I33" s="4"/>
    </row>
    <row r="34" spans="9:9" ht="18.75" x14ac:dyDescent="0.3">
      <c r="I34" s="4"/>
    </row>
    <row r="35" spans="9:9" ht="18.75" x14ac:dyDescent="0.3">
      <c r="I35" s="4"/>
    </row>
    <row r="36" spans="9:9" ht="18.75" x14ac:dyDescent="0.3">
      <c r="I36" s="4"/>
    </row>
    <row r="37" spans="9:9" ht="18.75" x14ac:dyDescent="0.3">
      <c r="I37" s="4"/>
    </row>
    <row r="38" spans="9:9" ht="18.75" x14ac:dyDescent="0.3">
      <c r="I38" s="4"/>
    </row>
    <row r="39" spans="9:9" ht="18.75" x14ac:dyDescent="0.3">
      <c r="I39" s="4"/>
    </row>
    <row r="40" spans="9:9" ht="18.75" x14ac:dyDescent="0.3">
      <c r="I40" s="4"/>
    </row>
    <row r="41" spans="9:9" ht="18.75" x14ac:dyDescent="0.3">
      <c r="I41" s="4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Ten_skoroszyt.suma_xy">
                <anchor moveWithCells="1" sizeWithCells="1">
                  <from>
                    <xdr:col>15</xdr:col>
                    <xdr:colOff>0</xdr:colOff>
                    <xdr:row>2</xdr:row>
                    <xdr:rowOff>0</xdr:rowOff>
                  </from>
                  <to>
                    <xdr:col>16</xdr:col>
                    <xdr:colOff>28575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1E08-4F82-4E34-A0A7-AB91C7758FD6}">
  <sheetPr codeName="Arkusz2"/>
  <dimension ref="A1:G20"/>
  <sheetViews>
    <sheetView workbookViewId="0">
      <selection activeCell="I10" sqref="I10"/>
    </sheetView>
  </sheetViews>
  <sheetFormatPr defaultRowHeight="15" x14ac:dyDescent="0.25"/>
  <sheetData>
    <row r="1" spans="1:7" ht="18.75" x14ac:dyDescent="0.3">
      <c r="A1" s="4" t="s">
        <v>0</v>
      </c>
      <c r="B1" s="4" t="s">
        <v>1</v>
      </c>
      <c r="C1" s="4" t="s">
        <v>2</v>
      </c>
    </row>
    <row r="2" spans="1:7" ht="18.75" x14ac:dyDescent="0.3">
      <c r="A2" s="4">
        <v>0</v>
      </c>
      <c r="B2" s="4">
        <v>1</v>
      </c>
      <c r="C2" s="4">
        <v>4</v>
      </c>
    </row>
    <row r="3" spans="1:7" ht="18.75" x14ac:dyDescent="0.3">
      <c r="A3" s="4">
        <v>1</v>
      </c>
      <c r="B3" s="4">
        <v>2</v>
      </c>
      <c r="C3" s="4">
        <v>2</v>
      </c>
    </row>
    <row r="4" spans="1:7" ht="18.75" x14ac:dyDescent="0.3">
      <c r="A4" s="4">
        <v>2</v>
      </c>
      <c r="B4" s="4">
        <v>3</v>
      </c>
      <c r="C4" s="4">
        <v>6</v>
      </c>
    </row>
    <row r="5" spans="1:7" ht="18.75" x14ac:dyDescent="0.3">
      <c r="A5" s="4">
        <v>3</v>
      </c>
      <c r="B5" s="4">
        <v>4</v>
      </c>
      <c r="C5" s="4">
        <v>2</v>
      </c>
    </row>
    <row r="6" spans="1:7" ht="18.75" x14ac:dyDescent="0.3">
      <c r="A6" s="4">
        <v>4</v>
      </c>
      <c r="B6" s="4">
        <v>5</v>
      </c>
      <c r="C6" s="4">
        <v>9</v>
      </c>
    </row>
    <row r="7" spans="1:7" ht="18.75" x14ac:dyDescent="0.3">
      <c r="A7" s="4">
        <v>5</v>
      </c>
      <c r="B7" s="4">
        <v>6</v>
      </c>
      <c r="C7" s="4">
        <v>5</v>
      </c>
      <c r="E7" s="4"/>
      <c r="F7" s="4"/>
      <c r="G7" s="4"/>
    </row>
    <row r="8" spans="1:7" ht="18.75" x14ac:dyDescent="0.3">
      <c r="A8" s="4">
        <v>6</v>
      </c>
      <c r="B8" s="4">
        <v>7</v>
      </c>
      <c r="C8" s="4">
        <v>4</v>
      </c>
      <c r="E8" s="4"/>
      <c r="F8" s="4"/>
      <c r="G8" s="4"/>
    </row>
    <row r="9" spans="1:7" ht="18.75" x14ac:dyDescent="0.3">
      <c r="A9" s="4">
        <v>7</v>
      </c>
      <c r="B9" s="4">
        <v>8</v>
      </c>
      <c r="C9" s="4">
        <v>1</v>
      </c>
      <c r="E9" s="4"/>
      <c r="F9" s="4"/>
      <c r="G9" s="4"/>
    </row>
    <row r="10" spans="1:7" ht="18.75" x14ac:dyDescent="0.3">
      <c r="A10" s="4">
        <v>8</v>
      </c>
      <c r="B10" s="4">
        <v>9</v>
      </c>
      <c r="C10" s="4">
        <v>9</v>
      </c>
      <c r="E10" s="4"/>
      <c r="F10" s="4"/>
      <c r="G10" s="4"/>
    </row>
    <row r="11" spans="1:7" ht="18.75" x14ac:dyDescent="0.3">
      <c r="A11" s="4">
        <v>9</v>
      </c>
      <c r="B11" s="4">
        <v>10</v>
      </c>
      <c r="C11" s="4">
        <v>2</v>
      </c>
      <c r="E11" s="4"/>
      <c r="F11" s="4"/>
      <c r="G11" s="4"/>
    </row>
    <row r="12" spans="1:7" ht="18.75" x14ac:dyDescent="0.3">
      <c r="A12" s="4">
        <v>10</v>
      </c>
      <c r="B12" s="4">
        <v>11</v>
      </c>
      <c r="C12" s="4">
        <v>8</v>
      </c>
      <c r="E12" s="4"/>
      <c r="F12" s="4"/>
      <c r="G12" s="4"/>
    </row>
    <row r="13" spans="1:7" ht="18.75" x14ac:dyDescent="0.3">
      <c r="A13" s="4">
        <v>11</v>
      </c>
      <c r="B13" s="4">
        <v>12</v>
      </c>
      <c r="C13" s="4">
        <v>3</v>
      </c>
      <c r="E13" s="4"/>
      <c r="F13" s="4"/>
      <c r="G13" s="4"/>
    </row>
    <row r="14" spans="1:7" ht="18.75" x14ac:dyDescent="0.3">
      <c r="A14" s="4">
        <v>12</v>
      </c>
      <c r="B14" s="4">
        <v>13</v>
      </c>
      <c r="C14" s="4">
        <v>7</v>
      </c>
      <c r="E14" s="4"/>
      <c r="F14" s="4"/>
      <c r="G14" s="4"/>
    </row>
    <row r="15" spans="1:7" ht="18.75" x14ac:dyDescent="0.3">
      <c r="A15" s="4">
        <v>13</v>
      </c>
      <c r="B15" s="4">
        <v>14</v>
      </c>
      <c r="C15" s="4">
        <v>4</v>
      </c>
    </row>
    <row r="16" spans="1:7" ht="18.75" x14ac:dyDescent="0.3">
      <c r="A16" s="4">
        <v>14</v>
      </c>
      <c r="B16" s="4">
        <v>15</v>
      </c>
      <c r="C16" s="4">
        <v>6</v>
      </c>
    </row>
    <row r="17" spans="1:3" ht="18.75" x14ac:dyDescent="0.3">
      <c r="A17" s="4">
        <v>15</v>
      </c>
      <c r="B17" s="4">
        <v>16</v>
      </c>
      <c r="C17" s="4">
        <v>5</v>
      </c>
    </row>
    <row r="18" spans="1:3" ht="18.75" x14ac:dyDescent="0.3">
      <c r="A18" s="4">
        <v>16</v>
      </c>
      <c r="B18" s="4">
        <v>17</v>
      </c>
      <c r="C18" s="4">
        <v>4</v>
      </c>
    </row>
    <row r="19" spans="1:3" ht="18.75" x14ac:dyDescent="0.3">
      <c r="A19" s="4">
        <v>17</v>
      </c>
      <c r="B19" s="4">
        <v>18</v>
      </c>
      <c r="C19" s="4">
        <v>6</v>
      </c>
    </row>
    <row r="20" spans="1:3" ht="18.75" x14ac:dyDescent="0.3">
      <c r="A20" s="4">
        <v>18</v>
      </c>
      <c r="B20" s="4">
        <v>19</v>
      </c>
      <c r="C20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Obliczenia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Pankowski Andrzej</dc:creator>
  <cp:lastModifiedBy>Dawid Karolak</cp:lastModifiedBy>
  <dcterms:created xsi:type="dcterms:W3CDTF">2025-03-17T21:53:06Z</dcterms:created>
  <dcterms:modified xsi:type="dcterms:W3CDTF">2026-03-26T14:30:11Z</dcterms:modified>
</cp:coreProperties>
</file>