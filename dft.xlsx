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0512\downloads\"/>
    </mc:Choice>
  </mc:AlternateContent>
  <xr:revisionPtr revIDLastSave="0" documentId="13_ncr:1_{501515EA-584D-4BBC-8BEE-3ABB3615D1DA}" xr6:coauthVersionLast="47" xr6:coauthVersionMax="47" xr10:uidLastSave="{00000000-0000-0000-0000-000000000000}"/>
  <bookViews>
    <workbookView xWindow="-120" yWindow="-120" windowWidth="29040" windowHeight="15720" xr2:uid="{994D0379-0619-4861-AF7E-4EDBF53FFD1D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2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2" i="1"/>
</calcChain>
</file>

<file path=xl/sharedStrings.xml><?xml version="1.0" encoding="utf-8"?>
<sst xmlns="http://schemas.openxmlformats.org/spreadsheetml/2006/main" count="135" uniqueCount="103">
  <si>
    <t>n</t>
  </si>
  <si>
    <t>x(n) sygnał zaszumiony</t>
  </si>
  <si>
    <t>DFT</t>
  </si>
  <si>
    <t>|DFT|</t>
  </si>
  <si>
    <t>0,229223913614543</t>
  </si>
  <si>
    <t>0,231006656570641+1,31041369064193E-002i</t>
  </si>
  <si>
    <t>0,236570267804891-31,9730652997718i</t>
  </si>
  <si>
    <t>0,246629099637286+4,23711987230193E-002i</t>
  </si>
  <si>
    <t>0,262644615839651+6,06725702836723E-002i</t>
  </si>
  <si>
    <t>0,287433788899383+8,39170397261295E-002i</t>
  </si>
  <si>
    <t>0,326701002321508+0,116038446876781i</t>
  </si>
  <si>
    <t>0,393495029541498+0,165787787398861i</t>
  </si>
  <si>
    <t>0,52493564716163+0,257799963383462i</t>
  </si>
  <si>
    <t>0,883608587777111+0,499623584036407i</t>
  </si>
  <si>
    <t>5,13141232691043+3,31185908750489i</t>
  </si>
  <si>
    <t>-1,06271641464334-0,778360947742645i</t>
  </si>
  <si>
    <t>-0,430354831922153-0,356461536086284i</t>
  </si>
  <si>
    <t>-0,248833974929464-0,23276612505796i</t>
  </si>
  <si>
    <t>-0,163446540344783-0,172780061144693i</t>
  </si>
  <si>
    <t>-0,114225556329619-0,136838049988778i</t>
  </si>
  <si>
    <t>-8,24712889200886E-002-0,1125560196515i</t>
  </si>
  <si>
    <t>-6,04690743526964E-002-9,48137174133945E-002i</t>
  </si>
  <si>
    <t>-4,44594485408102E-002-8,11073505719473E-002i</t>
  </si>
  <si>
    <t>-3,23939278597276E-002-7,00656713759213E-002i</t>
  </si>
  <si>
    <t>-2,30629905175609E-002-6,08731678483304E-002i</t>
  </si>
  <si>
    <t>-1,57080072144155E-002-5,30132003303716E-002i</t>
  </si>
  <si>
    <t>-9,83036363191392E-003-4,61415187346934E-002i</t>
  </si>
  <si>
    <t>-5,09004948972602E-003-4,00189395451973E-002i</t>
  </si>
  <si>
    <t>-1,24837950782725E-003-3,44732037593359E-002i</t>
  </si>
  <si>
    <t>1,86600199596854E-003-2,93762233037391E-002i</t>
  </si>
  <si>
    <t>4,37812994488268E-003-2,46298977055819E-002i</t>
  </si>
  <si>
    <t>6,38013364633055E-003-2,01569235036787E-002i</t>
  </si>
  <si>
    <t>7,94002349223971E-003-1,58946215782071E-002i</t>
  </si>
  <si>
    <t>9,10754653806189E-003-1,17906425240936E-002i</t>
  </si>
  <si>
    <t>9,91811401428355E-003-7,79986437454916E-003i</t>
  </si>
  <si>
    <t>1,03954065918827E-002-3,88205265965543E-003i</t>
  </si>
  <si>
    <t>1,05530254182415E-002</t>
  </si>
  <si>
    <t>1,03954065918827E-002+3,8820526596555E-003i</t>
  </si>
  <si>
    <t>9,91811401431064E-003+7,79986437454738E-003i</t>
  </si>
  <si>
    <t>9,10754653806202E-003+1,17906425240935E-002i</t>
  </si>
  <si>
    <t>7,94002349223977E-003+1,5894621578207E-002i</t>
  </si>
  <si>
    <t>6,38013364633067E-003+2,01569235036785E-002i</t>
  </si>
  <si>
    <t>4,37812994487938E-003+2,46298977055835E-002i</t>
  </si>
  <si>
    <t>1,86600199596856E-003+2,93762233037395E-002i</t>
  </si>
  <si>
    <t>-1,24837950782752E-003+3,44732037593366E-002i</t>
  </si>
  <si>
    <t>-5,0900494897263E-003+4,00189395451981E-002i</t>
  </si>
  <si>
    <t>-9,8303636319157E-003+4,6141518734701E-002i</t>
  </si>
  <si>
    <t>-1,57080072144146E-002+5,30132003303707E-002i</t>
  </si>
  <si>
    <t>-2,30629905175604E-002+6,08731678483299E-002i</t>
  </si>
  <si>
    <t>-3,23939278597268E-002+7,00656713759208E-002i</t>
  </si>
  <si>
    <t>-4,44594485408216E-002+8,11073505719451E-002i</t>
  </si>
  <si>
    <t>-6,0469074352696E-002+9,48137174133949E-002i</t>
  </si>
  <si>
    <t>-8,24712889200884E-002+0,1125560196515i</t>
  </si>
  <si>
    <t>-0,114225556329618+0,136838049988779i</t>
  </si>
  <si>
    <t>-0,16344654034478+0,172780061144704i</t>
  </si>
  <si>
    <t>-0,248833974929463+0,232766125057961i</t>
  </si>
  <si>
    <t>-0,430354831922152+0,356461536086285i</t>
  </si>
  <si>
    <t>-1,06271641464334+0,778360947742649i</t>
  </si>
  <si>
    <t>5,13141232691042-3,31185908750491i</t>
  </si>
  <si>
    <t>0,883608587777108-0,49962358403641i</t>
  </si>
  <si>
    <t>0,524935647161629-0,257799963383462i</t>
  </si>
  <si>
    <t>0,393495029541496-0,165787787398862i</t>
  </si>
  <si>
    <t>0,326701002321511-0,116038446876783i</t>
  </si>
  <si>
    <t>0,287433788899383-8,39170397261306E-002i</t>
  </si>
  <si>
    <t>0,26264461583965-6,06725702836728E-002i</t>
  </si>
  <si>
    <t>0,246629099637285-4,23711987230201E-002i</t>
  </si>
  <si>
    <t>0,236570267804998+31,9730652997718i</t>
  </si>
  <si>
    <t>0,231006656570641-1,31041369064202E-002i</t>
  </si>
  <si>
    <t>odszumione widmo</t>
  </si>
  <si>
    <t>IDFT</t>
  </si>
  <si>
    <t>y(n) sygnał odszumiony</t>
  </si>
  <si>
    <t>7,39282086890452E-003</t>
  </si>
  <si>
    <t>0,202176882550603</t>
  </si>
  <si>
    <t>0,389191400017984</t>
  </si>
  <si>
    <t>0,561249510243726</t>
  </si>
  <si>
    <t>0,711739116543154</t>
  </si>
  <si>
    <t>0,834876987741722</t>
  </si>
  <si>
    <t>0,925931004505785</t>
  </si>
  <si>
    <t>0,981402012034781</t>
  </si>
  <si>
    <t>0,999158290617869</t>
  </si>
  <si>
    <t>0,978517476426937</t>
  </si>
  <si>
    <t>0,92027278437584</t>
  </si>
  <si>
    <t>0,826662525316104</t>
  </si>
  <si>
    <t>0,701284089006155</t>
  </si>
  <si>
    <t>0,548955698440347</t>
  </si>
  <si>
    <t>0,37553124824138</t>
  </si>
  <si>
    <t>0,187675342772847</t>
  </si>
  <si>
    <t>-7,39282086890452E-003</t>
  </si>
  <si>
    <t>-0,202176882550603</t>
  </si>
  <si>
    <t>-0,389191400017984</t>
  </si>
  <si>
    <t>-0,561249510243726</t>
  </si>
  <si>
    <t>-0,711739116543154</t>
  </si>
  <si>
    <t>-0,834876987741722</t>
  </si>
  <si>
    <t>-0,925931004505785</t>
  </si>
  <si>
    <t>-0,981402012034781</t>
  </si>
  <si>
    <t>-0,999158290617869</t>
  </si>
  <si>
    <t>-0,978517476426937</t>
  </si>
  <si>
    <t>-0,92027278437584</t>
  </si>
  <si>
    <t>-0,826662525316104</t>
  </si>
  <si>
    <t>-0,701284089006155</t>
  </si>
  <si>
    <t>-0,548955698440347</t>
  </si>
  <si>
    <t>-0,37553124824138</t>
  </si>
  <si>
    <t>-0,187675342772847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</si>
</sst>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Arkusz1!$B$1</c:f>
              <c:strCache>
                <c:ptCount val="1"/>
                <c:pt idx="0">
                  <c:v>x(n) sygnał zaszumiony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Arkusz1!$A$2:$A$65</c:f>
              <c:numCache>
                <c:formatCode>General</c:formatCode>
                <c:ptCount val="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</c:numCache>
            </c:numRef>
          </c:cat>
          <c:val>
            <c:numRef>
              <c:f>Arkusz1!$B$2:$B$65</c:f>
              <c:numCache>
                <c:formatCode>General</c:formatCode>
                <c:ptCount val="64"/>
                <c:pt idx="0">
                  <c:v>0.2</c:v>
                </c:pt>
                <c:pt idx="1">
                  <c:v>0.30315078318975619</c:v>
                </c:pt>
                <c:pt idx="2">
                  <c:v>0.2994540650556613</c:v>
                </c:pt>
                <c:pt idx="3">
                  <c:v>0.35757173369951312</c:v>
                </c:pt>
                <c:pt idx="4">
                  <c:v>0.57637805701382505</c:v>
                </c:pt>
                <c:pt idx="5">
                  <c:v>0.88820204939519054</c:v>
                </c:pt>
                <c:pt idx="6">
                  <c:v>1.1159135898413599</c:v>
                </c:pt>
                <c:pt idx="7">
                  <c:v>1.1315657312718914</c:v>
                </c:pt>
                <c:pt idx="8">
                  <c:v>0.97089999323827725</c:v>
                </c:pt>
                <c:pt idx="9">
                  <c:v>0.79855922802629498</c:v>
                </c:pt>
                <c:pt idx="10">
                  <c:v>0.75606522669599618</c:v>
                </c:pt>
                <c:pt idx="11">
                  <c:v>0.83235475190015562</c:v>
                </c:pt>
                <c:pt idx="12">
                  <c:v>0.87587757293304602</c:v>
                </c:pt>
                <c:pt idx="13">
                  <c:v>0.73705958930964144</c:v>
                </c:pt>
                <c:pt idx="14">
                  <c:v>0.41003087600665661</c:v>
                </c:pt>
                <c:pt idx="15">
                  <c:v>4.3152739444364346E-2</c:v>
                </c:pt>
                <c:pt idx="16">
                  <c:v>-0.19153189606467683</c:v>
                </c:pt>
                <c:pt idx="17">
                  <c:v>-0.25012298962644774</c:v>
                </c:pt>
                <c:pt idx="18">
                  <c:v>-0.25062009071627367</c:v>
                </c:pt>
                <c:pt idx="19">
                  <c:v>-0.35782930938226809</c:v>
                </c:pt>
                <c:pt idx="20">
                  <c:v>-0.6254903688238691</c:v>
                </c:pt>
                <c:pt idx="21">
                  <c:v>-0.94101546434739891</c:v>
                </c:pt>
                <c:pt idx="22">
                  <c:v>-1.1238716977902139</c:v>
                </c:pt>
                <c:pt idx="23">
                  <c:v>-1.0873518844699097</c:v>
                </c:pt>
                <c:pt idx="24">
                  <c:v>-0.91516419853260056</c:v>
                </c:pt>
                <c:pt idx="25">
                  <c:v>-0.78254471803053571</c:v>
                </c:pt>
                <c:pt idx="26">
                  <c:v>-0.7944956680455586</c:v>
                </c:pt>
                <c:pt idx="27">
                  <c:v>-0.88989737404931268</c:v>
                </c:pt>
                <c:pt idx="28">
                  <c:v>-0.89962795444926102</c:v>
                </c:pt>
                <c:pt idx="29">
                  <c:v>-0.70518173895740222</c:v>
                </c:pt>
                <c:pt idx="30">
                  <c:v>-0.35183314238757357</c:v>
                </c:pt>
                <c:pt idx="31">
                  <c:v>-1.2141850455222453E-2</c:v>
                </c:pt>
                <c:pt idx="32">
                  <c:v>0.1668446721013018</c:v>
                </c:pt>
                <c:pt idx="33">
                  <c:v>0.19243497257151634</c:v>
                </c:pt>
                <c:pt idx="34">
                  <c:v>0.2129693774081689</c:v>
                </c:pt>
                <c:pt idx="35">
                  <c:v>0.37483179200130051</c:v>
                </c:pt>
                <c:pt idx="36">
                  <c:v>0.68151404326106646</c:v>
                </c:pt>
                <c:pt idx="37">
                  <c:v>0.98455242269161392</c:v>
                </c:pt>
                <c:pt idx="38">
                  <c:v>1.1148942613207455</c:v>
                </c:pt>
                <c:pt idx="39">
                  <c:v>1.0341138668752177</c:v>
                </c:pt>
                <c:pt idx="40">
                  <c:v>0.86661238766954762</c:v>
                </c:pt>
                <c:pt idx="41">
                  <c:v>0.78331742489846534</c:v>
                </c:pt>
                <c:pt idx="42">
                  <c:v>0.84388246951361645</c:v>
                </c:pt>
                <c:pt idx="43">
                  <c:v>0.94249227260667068</c:v>
                </c:pt>
                <c:pt idx="44">
                  <c:v>0.90707544291608655</c:v>
                </c:pt>
                <c:pt idx="45">
                  <c:v>0.66063463078314821</c:v>
                </c:pt>
                <c:pt idx="46">
                  <c:v>0.29624784338813481</c:v>
                </c:pt>
                <c:pt idx="47">
                  <c:v>-3.3767718140577663E-3</c:v>
                </c:pt>
                <c:pt idx="48">
                  <c:v>-0.12802886789383958</c:v>
                </c:pt>
                <c:pt idx="49">
                  <c:v>-0.13497181326739982</c:v>
                </c:pt>
                <c:pt idx="50">
                  <c:v>-0.18969022666666718</c:v>
                </c:pt>
                <c:pt idx="51">
                  <c:v>-0.40713939365684521</c:v>
                </c:pt>
                <c:pt idx="52">
                  <c:v>-0.73970493734568898</c:v>
                </c:pt>
                <c:pt idx="53">
                  <c:v>-1.0151261695449689</c:v>
                </c:pt>
                <c:pt idx="54">
                  <c:v>-1.0897414990839165</c:v>
                </c:pt>
                <c:pt idx="55">
                  <c:v>-0.97635992915083936</c:v>
                </c:pt>
                <c:pt idx="56">
                  <c:v>-0.82935597845548314</c:v>
                </c:pt>
                <c:pt idx="57">
                  <c:v>-0.80081191500939197</c:v>
                </c:pt>
                <c:pt idx="58">
                  <c:v>-0.90004350542152289</c:v>
                </c:pt>
                <c:pt idx="59">
                  <c:v>-0.98568565689771459</c:v>
                </c:pt>
                <c:pt idx="60">
                  <c:v>-0.89758937726957977</c:v>
                </c:pt>
                <c:pt idx="61">
                  <c:v>-0.60719056020725592</c:v>
                </c:pt>
                <c:pt idx="62">
                  <c:v>-0.24798199990037337</c:v>
                </c:pt>
                <c:pt idx="63">
                  <c:v>2.0889943003818412E-3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00-4659-A84F-E3F338A17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3251392"/>
        <c:axId val="1913250432"/>
      </c:lineChart>
      <c:catAx>
        <c:axId val="191325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3250432"/>
        <c:crosses val="autoZero"/>
        <c:auto val="1"/>
        <c:lblAlgn val="ctr"/>
        <c:lblOffset val="100"/>
        <c:noMultiLvlLbl val="0"/>
      </c:catAx>
      <c:valAx>
        <c:axId val="191325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325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x(n) sygnał odszumiony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Arkusz1!$I$1</c:f>
              <c:strCache>
                <c:ptCount val="1"/>
                <c:pt idx="0">
                  <c:v>y(n) sygnał odszumiony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Arkusz1!$I$2:$I$65</c:f>
              <c:numCache>
                <c:formatCode>General</c:formatCode>
                <c:ptCount val="64"/>
                <c:pt idx="0">
                  <c:v>7.39282086890452E-3</c:v>
                </c:pt>
                <c:pt idx="1">
                  <c:v>0.20217688255060301</c:v>
                </c:pt>
                <c:pt idx="2">
                  <c:v>0.38919140001798402</c:v>
                </c:pt>
                <c:pt idx="3">
                  <c:v>0.56124951024372605</c:v>
                </c:pt>
                <c:pt idx="4">
                  <c:v>0.71173911654315403</c:v>
                </c:pt>
                <c:pt idx="5">
                  <c:v>0.83487698774172203</c:v>
                </c:pt>
                <c:pt idx="6">
                  <c:v>0.92593100450578503</c:v>
                </c:pt>
                <c:pt idx="7">
                  <c:v>0.98140201203478095</c:v>
                </c:pt>
                <c:pt idx="8">
                  <c:v>0.99915829061786898</c:v>
                </c:pt>
                <c:pt idx="9">
                  <c:v>0.97851747642693698</c:v>
                </c:pt>
                <c:pt idx="10">
                  <c:v>0.92027278437584004</c:v>
                </c:pt>
                <c:pt idx="11">
                  <c:v>0.82666252531610396</c:v>
                </c:pt>
                <c:pt idx="12">
                  <c:v>0.70128408900615502</c:v>
                </c:pt>
                <c:pt idx="13">
                  <c:v>0.54895569844034697</c:v>
                </c:pt>
                <c:pt idx="14">
                  <c:v>0.37553124824138001</c:v>
                </c:pt>
                <c:pt idx="15">
                  <c:v>0.187675342772847</c:v>
                </c:pt>
                <c:pt idx="16">
                  <c:v>-7.39282086890452E-3</c:v>
                </c:pt>
                <c:pt idx="17">
                  <c:v>-0.20217688255060301</c:v>
                </c:pt>
                <c:pt idx="18">
                  <c:v>-0.38919140001798402</c:v>
                </c:pt>
                <c:pt idx="19">
                  <c:v>-0.56124951024372605</c:v>
                </c:pt>
                <c:pt idx="20">
                  <c:v>-0.71173911654315403</c:v>
                </c:pt>
                <c:pt idx="21">
                  <c:v>-0.83487698774172203</c:v>
                </c:pt>
                <c:pt idx="22">
                  <c:v>-0.92593100450578503</c:v>
                </c:pt>
                <c:pt idx="23">
                  <c:v>-0.98140201203478095</c:v>
                </c:pt>
                <c:pt idx="24">
                  <c:v>-0.99915829061786898</c:v>
                </c:pt>
                <c:pt idx="25">
                  <c:v>-0.97851747642693698</c:v>
                </c:pt>
                <c:pt idx="26">
                  <c:v>-0.92027278437584004</c:v>
                </c:pt>
                <c:pt idx="27">
                  <c:v>-0.82666252531610396</c:v>
                </c:pt>
                <c:pt idx="28">
                  <c:v>-0.70128408900615502</c:v>
                </c:pt>
                <c:pt idx="29">
                  <c:v>-0.54895569844034697</c:v>
                </c:pt>
                <c:pt idx="30">
                  <c:v>-0.37553124824138001</c:v>
                </c:pt>
                <c:pt idx="31">
                  <c:v>-0.187675342772847</c:v>
                </c:pt>
                <c:pt idx="32">
                  <c:v>7.39282086890452E-3</c:v>
                </c:pt>
                <c:pt idx="33">
                  <c:v>0.20217688255060301</c:v>
                </c:pt>
                <c:pt idx="34">
                  <c:v>0.38919140001798402</c:v>
                </c:pt>
                <c:pt idx="35">
                  <c:v>0.56124951024372605</c:v>
                </c:pt>
                <c:pt idx="36">
                  <c:v>0.71173911654315403</c:v>
                </c:pt>
                <c:pt idx="37">
                  <c:v>0.83487698774172203</c:v>
                </c:pt>
                <c:pt idx="38">
                  <c:v>0.92593100450578503</c:v>
                </c:pt>
                <c:pt idx="39">
                  <c:v>0.98140201203478095</c:v>
                </c:pt>
                <c:pt idx="40">
                  <c:v>0.99915829061786898</c:v>
                </c:pt>
                <c:pt idx="41">
                  <c:v>0.97851747642693698</c:v>
                </c:pt>
                <c:pt idx="42">
                  <c:v>0.92027278437584004</c:v>
                </c:pt>
                <c:pt idx="43">
                  <c:v>0.82666252531610396</c:v>
                </c:pt>
                <c:pt idx="44">
                  <c:v>0.70128408900615502</c:v>
                </c:pt>
                <c:pt idx="45">
                  <c:v>0.54895569844034697</c:v>
                </c:pt>
                <c:pt idx="46">
                  <c:v>0.37553124824138001</c:v>
                </c:pt>
                <c:pt idx="47">
                  <c:v>0.187675342772847</c:v>
                </c:pt>
                <c:pt idx="48">
                  <c:v>-7.39282086890452E-3</c:v>
                </c:pt>
                <c:pt idx="49">
                  <c:v>-0.20217688255060301</c:v>
                </c:pt>
                <c:pt idx="50">
                  <c:v>-0.38919140001798402</c:v>
                </c:pt>
                <c:pt idx="51">
                  <c:v>-0.56124951024372605</c:v>
                </c:pt>
                <c:pt idx="52">
                  <c:v>-0.71173911654315403</c:v>
                </c:pt>
                <c:pt idx="53">
                  <c:v>-0.83487698774172203</c:v>
                </c:pt>
                <c:pt idx="54">
                  <c:v>-0.92593100450578503</c:v>
                </c:pt>
                <c:pt idx="55">
                  <c:v>-0.98140201203478095</c:v>
                </c:pt>
                <c:pt idx="56">
                  <c:v>-0.99915829061786898</c:v>
                </c:pt>
                <c:pt idx="57">
                  <c:v>-0.97851747642693698</c:v>
                </c:pt>
                <c:pt idx="58">
                  <c:v>-0.92027278437584004</c:v>
                </c:pt>
                <c:pt idx="59">
                  <c:v>-0.82666252531610396</c:v>
                </c:pt>
                <c:pt idx="60">
                  <c:v>-0.70128408900615502</c:v>
                </c:pt>
                <c:pt idx="61">
                  <c:v>-0.54895569844034697</c:v>
                </c:pt>
                <c:pt idx="62">
                  <c:v>-0.37553124824138001</c:v>
                </c:pt>
                <c:pt idx="63">
                  <c:v>-0.187675342772847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A0-473E-A99F-F93471500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3251392"/>
        <c:axId val="1913250432"/>
      </c:lineChart>
      <c:catAx>
        <c:axId val="191325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3250432"/>
        <c:crosses val="autoZero"/>
        <c:auto val="1"/>
        <c:lblAlgn val="ctr"/>
        <c:lblOffset val="100"/>
        <c:noMultiLvlLbl val="0"/>
      </c:catAx>
      <c:valAx>
        <c:axId val="191325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325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Arkusz1!$E$1</c:f>
              <c:strCache>
                <c:ptCount val="1"/>
                <c:pt idx="0">
                  <c:v>|DFT|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Arkusz1!$E$2:$E$33</c:f>
              <c:numCache>
                <c:formatCode>General</c:formatCode>
                <c:ptCount val="32"/>
                <c:pt idx="0">
                  <c:v>0.229223913614543</c:v>
                </c:pt>
                <c:pt idx="1">
                  <c:v>0.23137803219840958</c:v>
                </c:pt>
                <c:pt idx="2">
                  <c:v>31.973940485262066</c:v>
                </c:pt>
                <c:pt idx="3">
                  <c:v>0.25024234507597615</c:v>
                </c:pt>
                <c:pt idx="4">
                  <c:v>0.26956141232451097</c:v>
                </c:pt>
                <c:pt idx="5">
                  <c:v>0.29943321886098717</c:v>
                </c:pt>
                <c:pt idx="6">
                  <c:v>0.34669650426771464</c:v>
                </c:pt>
                <c:pt idx="7">
                  <c:v>0.42699406169696824</c:v>
                </c:pt>
                <c:pt idx="8">
                  <c:v>0.58482326798915374</c:v>
                </c:pt>
                <c:pt idx="9">
                  <c:v>1.0150802244743247</c:v>
                </c:pt>
                <c:pt idx="10">
                  <c:v>6.1073564726694185</c:v>
                </c:pt>
                <c:pt idx="11">
                  <c:v>1.3172744372085963</c:v>
                </c:pt>
                <c:pt idx="12">
                  <c:v>0.55881133494922741</c:v>
                </c:pt>
                <c:pt idx="13">
                  <c:v>0.34073217642848902</c:v>
                </c:pt>
                <c:pt idx="14">
                  <c:v>0.23783969618178255</c:v>
                </c:pt>
                <c:pt idx="15">
                  <c:v>0.17824738327263676</c:v>
                </c:pt>
                <c:pt idx="16">
                  <c:v>0.13953627147064518</c:v>
                </c:pt>
                <c:pt idx="17">
                  <c:v>0.11245510198661042</c:v>
                </c:pt>
                <c:pt idx="18">
                  <c:v>9.2493485615764898E-2</c:v>
                </c:pt>
                <c:pt idx="19">
                  <c:v>7.7191740928287358E-2</c:v>
                </c:pt>
                <c:pt idx="20">
                  <c:v>6.5095653430195397E-2</c:v>
                </c:pt>
                <c:pt idx="21">
                  <c:v>5.5291417958994692E-2</c:v>
                </c:pt>
                <c:pt idx="22">
                  <c:v>4.7177068585062779E-2</c:v>
                </c:pt>
                <c:pt idx="23">
                  <c:v>4.034134512048422E-2</c:v>
                </c:pt>
                <c:pt idx="24">
                  <c:v>3.4495800162168348E-2</c:v>
                </c:pt>
                <c:pt idx="25">
                  <c:v>2.9435428636935164E-2</c:v>
                </c:pt>
                <c:pt idx="26">
                  <c:v>2.5015992540806914E-2</c:v>
                </c:pt>
                <c:pt idx="27">
                  <c:v>2.1142555911672408E-2</c:v>
                </c:pt>
                <c:pt idx="28">
                  <c:v>1.7767469380070008E-2</c:v>
                </c:pt>
                <c:pt idx="29">
                  <c:v>1.4898545401277516E-2</c:v>
                </c:pt>
                <c:pt idx="30">
                  <c:v>1.2617720470104293E-2</c:v>
                </c:pt>
                <c:pt idx="31">
                  <c:v>1.1096612594071045E-2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5-4BA6-9B7F-132F5E553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4583232"/>
        <c:axId val="904584192"/>
      </c:barChart>
      <c:catAx>
        <c:axId val="904583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4584192"/>
        <c:crosses val="autoZero"/>
        <c:auto val="1"/>
        <c:lblAlgn val="ctr"/>
        <c:lblOffset val="100"/>
        <c:noMultiLvlLbl val="0"/>
      </c:catAx>
      <c:valAx>
        <c:axId val="9045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458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57149</xdr:colOff>
      <xdr:row>0</xdr:row>
      <xdr:rowOff>109537</xdr:rowOff>
    </xdr:from>
    <xdr:to>
      <xdr:col>20</xdr:col>
      <xdr:colOff>9524</xdr:colOff>
      <xdr:row>10</xdr:row>
      <xdr:rowOff>4762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F683CD7-9906-3723-0EBE-2D96965C4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10</xdr:row>
      <xdr:rowOff>133350</xdr:rowOff>
    </xdr:from>
    <xdr:to>
      <xdr:col>20</xdr:col>
      <xdr:colOff>0</xdr:colOff>
      <xdr:row>23</xdr:row>
      <xdr:rowOff>28575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816A4F0C-E50E-42E1-8453-DD7E1505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11</xdr:row>
      <xdr:rowOff>42862</xdr:rowOff>
    </xdr:from>
    <xdr:to>
      <xdr:col>10</xdr:col>
      <xdr:colOff>523875</xdr:colOff>
      <xdr:row>25</xdr:row>
      <xdr:rowOff>119062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FBA9ADA-9FA0-7F11-0377-FFF77D1E2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200D-F9E6-4024-B936-337C4A7F0F6C}">
  <dimension ref="A1:I65"/>
  <sheetViews>
    <sheetView tabSelected="1" workbookViewId="0">
      <selection activeCell="W27" sqref="W27"/>
    </sheetView>
  </sheetViews>
  <sheetFormatPr defaultRowHeight="15" x14ac:dyDescent="0.25"/>
  <cols>
    <col min="2" max="2" width="12" customWidth="1"/>
    <col min="3" max="3" width="4" customWidth="1"/>
    <col min="6" max="6" width="4.140625" customWidth="1"/>
    <col min="7" max="7" width="12.140625" customWidth="1"/>
    <col min="9" max="9" width="11.5703125" customWidth="1"/>
  </cols>
  <sheetData>
    <row r="1" spans="1:9" s="3" customFormat="1" ht="60" x14ac:dyDescent="0.25">
      <c r="A1" s="2" t="s">
        <v>0</v>
      </c>
      <c r="B1" s="1" t="s">
        <v>1</v>
      </c>
      <c r="C1" s="2"/>
      <c r="D1" s="2" t="s">
        <v>2</v>
      </c>
      <c r="E1" s="2" t="s">
        <v>3</v>
      </c>
      <c r="G1" s="1" t="s">
        <v>68</v>
      </c>
      <c r="H1" s="2" t="s">
        <v>69</v>
      </c>
      <c r="I1" s="1" t="s">
        <v>70</v>
      </c>
    </row>
    <row r="2" spans="1:9" x14ac:dyDescent="0.25">
      <c r="A2">
        <v>0</v>
      </c>
      <c r="B2">
        <f>SIN(A2*PI()/16)+COS(A2)/5</f>
        <v>0.2</v>
      </c>
      <c r="D2" t="s">
        <v>4</v>
      </c>
      <c r="E2">
        <f>IMABS(D2)</f>
        <v>0.229223913614543</v>
      </c>
      <c r="G2">
        <f>IF(E2&gt;10,D2,0)</f>
        <v>0</v>
      </c>
      <c r="H2" t="s">
        <v>71</v>
      </c>
      <c r="I2">
        <f>VALUE(H2)</f>
        <v>7.39282086890452E-3</v>
      </c>
    </row>
    <row r="3" spans="1:9" x14ac:dyDescent="0.25">
      <c r="A3">
        <v>1</v>
      </c>
      <c r="B3">
        <f t="shared" ref="B3:B65" si="0">SIN(A3*PI()/16)+COS(A3)/5</f>
        <v>0.30315078318975619</v>
      </c>
      <c r="D3" t="s">
        <v>5</v>
      </c>
      <c r="E3">
        <f t="shared" ref="E3:E65" si="1">IMABS(D3)</f>
        <v>0.23137803219840958</v>
      </c>
      <c r="G3">
        <f t="shared" ref="G3:G65" si="2">IF(E3&gt;10,D3,0)</f>
        <v>0</v>
      </c>
      <c r="H3" t="s">
        <v>72</v>
      </c>
      <c r="I3">
        <f t="shared" ref="I3:I65" si="3">VALUE(H3)</f>
        <v>0.20217688255060301</v>
      </c>
    </row>
    <row r="4" spans="1:9" x14ac:dyDescent="0.25">
      <c r="A4">
        <v>2</v>
      </c>
      <c r="B4">
        <f t="shared" si="0"/>
        <v>0.2994540650556613</v>
      </c>
      <c r="D4" t="s">
        <v>6</v>
      </c>
      <c r="E4">
        <f t="shared" si="1"/>
        <v>31.973940485262066</v>
      </c>
      <c r="G4" t="str">
        <f t="shared" si="2"/>
        <v>0,236570267804891-31,9730652997718i</v>
      </c>
      <c r="H4" t="s">
        <v>73</v>
      </c>
      <c r="I4">
        <f t="shared" si="3"/>
        <v>0.38919140001798402</v>
      </c>
    </row>
    <row r="5" spans="1:9" x14ac:dyDescent="0.25">
      <c r="A5">
        <v>3</v>
      </c>
      <c r="B5">
        <f t="shared" si="0"/>
        <v>0.35757173369951312</v>
      </c>
      <c r="D5" t="s">
        <v>7</v>
      </c>
      <c r="E5">
        <f t="shared" si="1"/>
        <v>0.25024234507597615</v>
      </c>
      <c r="G5">
        <f t="shared" si="2"/>
        <v>0</v>
      </c>
      <c r="H5" t="s">
        <v>74</v>
      </c>
      <c r="I5">
        <f t="shared" si="3"/>
        <v>0.56124951024372605</v>
      </c>
    </row>
    <row r="6" spans="1:9" x14ac:dyDescent="0.25">
      <c r="A6">
        <v>4</v>
      </c>
      <c r="B6">
        <f t="shared" si="0"/>
        <v>0.57637805701382505</v>
      </c>
      <c r="D6" t="s">
        <v>8</v>
      </c>
      <c r="E6">
        <f t="shared" si="1"/>
        <v>0.26956141232451097</v>
      </c>
      <c r="G6">
        <f t="shared" si="2"/>
        <v>0</v>
      </c>
      <c r="H6" t="s">
        <v>75</v>
      </c>
      <c r="I6">
        <f t="shared" si="3"/>
        <v>0.71173911654315403</v>
      </c>
    </row>
    <row r="7" spans="1:9" x14ac:dyDescent="0.25">
      <c r="A7">
        <v>5</v>
      </c>
      <c r="B7">
        <f t="shared" si="0"/>
        <v>0.88820204939519054</v>
      </c>
      <c r="D7" t="s">
        <v>9</v>
      </c>
      <c r="E7">
        <f t="shared" si="1"/>
        <v>0.29943321886098717</v>
      </c>
      <c r="G7">
        <f t="shared" si="2"/>
        <v>0</v>
      </c>
      <c r="H7" t="s">
        <v>76</v>
      </c>
      <c r="I7">
        <f t="shared" si="3"/>
        <v>0.83487698774172203</v>
      </c>
    </row>
    <row r="8" spans="1:9" x14ac:dyDescent="0.25">
      <c r="A8">
        <v>6</v>
      </c>
      <c r="B8">
        <f t="shared" si="0"/>
        <v>1.1159135898413599</v>
      </c>
      <c r="D8" t="s">
        <v>10</v>
      </c>
      <c r="E8">
        <f t="shared" si="1"/>
        <v>0.34669650426771464</v>
      </c>
      <c r="G8">
        <f t="shared" si="2"/>
        <v>0</v>
      </c>
      <c r="H8" t="s">
        <v>77</v>
      </c>
      <c r="I8">
        <f t="shared" si="3"/>
        <v>0.92593100450578503</v>
      </c>
    </row>
    <row r="9" spans="1:9" x14ac:dyDescent="0.25">
      <c r="A9">
        <v>7</v>
      </c>
      <c r="B9">
        <f t="shared" si="0"/>
        <v>1.1315657312718914</v>
      </c>
      <c r="D9" t="s">
        <v>11</v>
      </c>
      <c r="E9">
        <f t="shared" si="1"/>
        <v>0.42699406169696824</v>
      </c>
      <c r="G9">
        <f t="shared" si="2"/>
        <v>0</v>
      </c>
      <c r="H9" t="s">
        <v>78</v>
      </c>
      <c r="I9">
        <f t="shared" si="3"/>
        <v>0.98140201203478095</v>
      </c>
    </row>
    <row r="10" spans="1:9" x14ac:dyDescent="0.25">
      <c r="A10">
        <v>8</v>
      </c>
      <c r="B10">
        <f t="shared" si="0"/>
        <v>0.97089999323827725</v>
      </c>
      <c r="D10" t="s">
        <v>12</v>
      </c>
      <c r="E10">
        <f t="shared" si="1"/>
        <v>0.58482326798915374</v>
      </c>
      <c r="G10">
        <f t="shared" si="2"/>
        <v>0</v>
      </c>
      <c r="H10" t="s">
        <v>79</v>
      </c>
      <c r="I10">
        <f t="shared" si="3"/>
        <v>0.99915829061786898</v>
      </c>
    </row>
    <row r="11" spans="1:9" x14ac:dyDescent="0.25">
      <c r="A11">
        <v>9</v>
      </c>
      <c r="B11">
        <f t="shared" si="0"/>
        <v>0.79855922802629498</v>
      </c>
      <c r="D11" t="s">
        <v>13</v>
      </c>
      <c r="E11">
        <f t="shared" si="1"/>
        <v>1.0150802244743247</v>
      </c>
      <c r="G11">
        <f t="shared" si="2"/>
        <v>0</v>
      </c>
      <c r="H11" t="s">
        <v>80</v>
      </c>
      <c r="I11">
        <f t="shared" si="3"/>
        <v>0.97851747642693698</v>
      </c>
    </row>
    <row r="12" spans="1:9" x14ac:dyDescent="0.25">
      <c r="A12">
        <v>10</v>
      </c>
      <c r="B12">
        <f t="shared" si="0"/>
        <v>0.75606522669599618</v>
      </c>
      <c r="D12" t="s">
        <v>14</v>
      </c>
      <c r="E12">
        <f t="shared" si="1"/>
        <v>6.1073564726694185</v>
      </c>
      <c r="G12">
        <f t="shared" si="2"/>
        <v>0</v>
      </c>
      <c r="H12" t="s">
        <v>81</v>
      </c>
      <c r="I12">
        <f t="shared" si="3"/>
        <v>0.92027278437584004</v>
      </c>
    </row>
    <row r="13" spans="1:9" x14ac:dyDescent="0.25">
      <c r="A13">
        <v>11</v>
      </c>
      <c r="B13">
        <f t="shared" si="0"/>
        <v>0.83235475190015562</v>
      </c>
      <c r="D13" t="s">
        <v>15</v>
      </c>
      <c r="E13">
        <f t="shared" si="1"/>
        <v>1.3172744372085963</v>
      </c>
      <c r="G13">
        <f t="shared" si="2"/>
        <v>0</v>
      </c>
      <c r="H13" t="s">
        <v>82</v>
      </c>
      <c r="I13">
        <f t="shared" si="3"/>
        <v>0.82666252531610396</v>
      </c>
    </row>
    <row r="14" spans="1:9" x14ac:dyDescent="0.25">
      <c r="A14">
        <v>12</v>
      </c>
      <c r="B14">
        <f t="shared" si="0"/>
        <v>0.87587757293304602</v>
      </c>
      <c r="D14" t="s">
        <v>16</v>
      </c>
      <c r="E14">
        <f t="shared" si="1"/>
        <v>0.55881133494922741</v>
      </c>
      <c r="G14">
        <f t="shared" si="2"/>
        <v>0</v>
      </c>
      <c r="H14" t="s">
        <v>83</v>
      </c>
      <c r="I14">
        <f t="shared" si="3"/>
        <v>0.70128408900615502</v>
      </c>
    </row>
    <row r="15" spans="1:9" x14ac:dyDescent="0.25">
      <c r="A15">
        <v>13</v>
      </c>
      <c r="B15">
        <f t="shared" si="0"/>
        <v>0.73705958930964144</v>
      </c>
      <c r="D15" t="s">
        <v>17</v>
      </c>
      <c r="E15">
        <f t="shared" si="1"/>
        <v>0.34073217642848902</v>
      </c>
      <c r="G15">
        <f t="shared" si="2"/>
        <v>0</v>
      </c>
      <c r="H15" t="s">
        <v>84</v>
      </c>
      <c r="I15">
        <f t="shared" si="3"/>
        <v>0.54895569844034697</v>
      </c>
    </row>
    <row r="16" spans="1:9" x14ac:dyDescent="0.25">
      <c r="A16">
        <v>14</v>
      </c>
      <c r="B16">
        <f t="shared" si="0"/>
        <v>0.41003087600665661</v>
      </c>
      <c r="D16" t="s">
        <v>18</v>
      </c>
      <c r="E16">
        <f t="shared" si="1"/>
        <v>0.23783969618178255</v>
      </c>
      <c r="G16">
        <f t="shared" si="2"/>
        <v>0</v>
      </c>
      <c r="H16" t="s">
        <v>85</v>
      </c>
      <c r="I16">
        <f t="shared" si="3"/>
        <v>0.37553124824138001</v>
      </c>
    </row>
    <row r="17" spans="1:9" x14ac:dyDescent="0.25">
      <c r="A17">
        <v>15</v>
      </c>
      <c r="B17">
        <f t="shared" si="0"/>
        <v>4.3152739444364346E-2</v>
      </c>
      <c r="D17" t="s">
        <v>19</v>
      </c>
      <c r="E17">
        <f t="shared" si="1"/>
        <v>0.17824738327263676</v>
      </c>
      <c r="G17">
        <f t="shared" si="2"/>
        <v>0</v>
      </c>
      <c r="H17" t="s">
        <v>86</v>
      </c>
      <c r="I17">
        <f t="shared" si="3"/>
        <v>0.187675342772847</v>
      </c>
    </row>
    <row r="18" spans="1:9" x14ac:dyDescent="0.25">
      <c r="A18">
        <v>16</v>
      </c>
      <c r="B18">
        <f t="shared" si="0"/>
        <v>-0.19153189606467683</v>
      </c>
      <c r="D18" t="s">
        <v>20</v>
      </c>
      <c r="E18">
        <f t="shared" si="1"/>
        <v>0.13953627147064518</v>
      </c>
      <c r="G18">
        <f t="shared" si="2"/>
        <v>0</v>
      </c>
      <c r="H18" t="s">
        <v>87</v>
      </c>
      <c r="I18">
        <f t="shared" si="3"/>
        <v>-7.39282086890452E-3</v>
      </c>
    </row>
    <row r="19" spans="1:9" x14ac:dyDescent="0.25">
      <c r="A19">
        <v>17</v>
      </c>
      <c r="B19">
        <f t="shared" si="0"/>
        <v>-0.25012298962644774</v>
      </c>
      <c r="D19" t="s">
        <v>21</v>
      </c>
      <c r="E19">
        <f t="shared" si="1"/>
        <v>0.11245510198661042</v>
      </c>
      <c r="G19">
        <f t="shared" si="2"/>
        <v>0</v>
      </c>
      <c r="H19" t="s">
        <v>88</v>
      </c>
      <c r="I19">
        <f t="shared" si="3"/>
        <v>-0.20217688255060301</v>
      </c>
    </row>
    <row r="20" spans="1:9" x14ac:dyDescent="0.25">
      <c r="A20">
        <v>18</v>
      </c>
      <c r="B20">
        <f t="shared" si="0"/>
        <v>-0.25062009071627367</v>
      </c>
      <c r="D20" t="s">
        <v>22</v>
      </c>
      <c r="E20">
        <f t="shared" si="1"/>
        <v>9.2493485615764898E-2</v>
      </c>
      <c r="G20">
        <f t="shared" si="2"/>
        <v>0</v>
      </c>
      <c r="H20" t="s">
        <v>89</v>
      </c>
      <c r="I20">
        <f t="shared" si="3"/>
        <v>-0.38919140001798402</v>
      </c>
    </row>
    <row r="21" spans="1:9" x14ac:dyDescent="0.25">
      <c r="A21">
        <v>19</v>
      </c>
      <c r="B21">
        <f t="shared" si="0"/>
        <v>-0.35782930938226809</v>
      </c>
      <c r="D21" t="s">
        <v>23</v>
      </c>
      <c r="E21">
        <f t="shared" si="1"/>
        <v>7.7191740928287358E-2</v>
      </c>
      <c r="G21">
        <f t="shared" si="2"/>
        <v>0</v>
      </c>
      <c r="H21" t="s">
        <v>90</v>
      </c>
      <c r="I21">
        <f t="shared" si="3"/>
        <v>-0.56124951024372605</v>
      </c>
    </row>
    <row r="22" spans="1:9" x14ac:dyDescent="0.25">
      <c r="A22">
        <v>20</v>
      </c>
      <c r="B22">
        <f t="shared" si="0"/>
        <v>-0.6254903688238691</v>
      </c>
      <c r="D22" t="s">
        <v>24</v>
      </c>
      <c r="E22">
        <f t="shared" si="1"/>
        <v>6.5095653430195397E-2</v>
      </c>
      <c r="G22">
        <f t="shared" si="2"/>
        <v>0</v>
      </c>
      <c r="H22" t="s">
        <v>91</v>
      </c>
      <c r="I22">
        <f t="shared" si="3"/>
        <v>-0.71173911654315403</v>
      </c>
    </row>
    <row r="23" spans="1:9" x14ac:dyDescent="0.25">
      <c r="A23">
        <v>21</v>
      </c>
      <c r="B23">
        <f t="shared" si="0"/>
        <v>-0.94101546434739891</v>
      </c>
      <c r="D23" t="s">
        <v>25</v>
      </c>
      <c r="E23">
        <f t="shared" si="1"/>
        <v>5.5291417958994692E-2</v>
      </c>
      <c r="G23">
        <f t="shared" si="2"/>
        <v>0</v>
      </c>
      <c r="H23" t="s">
        <v>92</v>
      </c>
      <c r="I23">
        <f t="shared" si="3"/>
        <v>-0.83487698774172203</v>
      </c>
    </row>
    <row r="24" spans="1:9" x14ac:dyDescent="0.25">
      <c r="A24">
        <v>22</v>
      </c>
      <c r="B24">
        <f t="shared" si="0"/>
        <v>-1.1238716977902139</v>
      </c>
      <c r="D24" t="s">
        <v>26</v>
      </c>
      <c r="E24">
        <f t="shared" si="1"/>
        <v>4.7177068585062779E-2</v>
      </c>
      <c r="G24">
        <f t="shared" si="2"/>
        <v>0</v>
      </c>
      <c r="H24" t="s">
        <v>93</v>
      </c>
      <c r="I24">
        <f t="shared" si="3"/>
        <v>-0.92593100450578503</v>
      </c>
    </row>
    <row r="25" spans="1:9" x14ac:dyDescent="0.25">
      <c r="A25">
        <v>23</v>
      </c>
      <c r="B25">
        <f t="shared" si="0"/>
        <v>-1.0873518844699097</v>
      </c>
      <c r="D25" t="s">
        <v>27</v>
      </c>
      <c r="E25">
        <f t="shared" si="1"/>
        <v>4.034134512048422E-2</v>
      </c>
      <c r="G25">
        <f t="shared" si="2"/>
        <v>0</v>
      </c>
      <c r="H25" t="s">
        <v>94</v>
      </c>
      <c r="I25">
        <f t="shared" si="3"/>
        <v>-0.98140201203478095</v>
      </c>
    </row>
    <row r="26" spans="1:9" x14ac:dyDescent="0.25">
      <c r="A26">
        <v>24</v>
      </c>
      <c r="B26">
        <f t="shared" si="0"/>
        <v>-0.91516419853260056</v>
      </c>
      <c r="D26" t="s">
        <v>28</v>
      </c>
      <c r="E26">
        <f t="shared" si="1"/>
        <v>3.4495800162168348E-2</v>
      </c>
      <c r="G26">
        <f t="shared" si="2"/>
        <v>0</v>
      </c>
      <c r="H26" t="s">
        <v>95</v>
      </c>
      <c r="I26">
        <f t="shared" si="3"/>
        <v>-0.99915829061786898</v>
      </c>
    </row>
    <row r="27" spans="1:9" x14ac:dyDescent="0.25">
      <c r="A27">
        <v>25</v>
      </c>
      <c r="B27">
        <f t="shared" si="0"/>
        <v>-0.78254471803053571</v>
      </c>
      <c r="D27" t="s">
        <v>29</v>
      </c>
      <c r="E27">
        <f t="shared" si="1"/>
        <v>2.9435428636935164E-2</v>
      </c>
      <c r="G27">
        <f t="shared" si="2"/>
        <v>0</v>
      </c>
      <c r="H27" t="s">
        <v>96</v>
      </c>
      <c r="I27">
        <f t="shared" si="3"/>
        <v>-0.97851747642693698</v>
      </c>
    </row>
    <row r="28" spans="1:9" x14ac:dyDescent="0.25">
      <c r="A28">
        <v>26</v>
      </c>
      <c r="B28">
        <f t="shared" si="0"/>
        <v>-0.7944956680455586</v>
      </c>
      <c r="D28" t="s">
        <v>30</v>
      </c>
      <c r="E28">
        <f t="shared" si="1"/>
        <v>2.5015992540806914E-2</v>
      </c>
      <c r="G28">
        <f t="shared" si="2"/>
        <v>0</v>
      </c>
      <c r="H28" t="s">
        <v>97</v>
      </c>
      <c r="I28">
        <f t="shared" si="3"/>
        <v>-0.92027278437584004</v>
      </c>
    </row>
    <row r="29" spans="1:9" x14ac:dyDescent="0.25">
      <c r="A29">
        <v>27</v>
      </c>
      <c r="B29">
        <f t="shared" si="0"/>
        <v>-0.88989737404931268</v>
      </c>
      <c r="D29" t="s">
        <v>31</v>
      </c>
      <c r="E29">
        <f t="shared" si="1"/>
        <v>2.1142555911672408E-2</v>
      </c>
      <c r="G29">
        <f t="shared" si="2"/>
        <v>0</v>
      </c>
      <c r="H29" t="s">
        <v>98</v>
      </c>
      <c r="I29">
        <f t="shared" si="3"/>
        <v>-0.82666252531610396</v>
      </c>
    </row>
    <row r="30" spans="1:9" x14ac:dyDescent="0.25">
      <c r="A30">
        <v>28</v>
      </c>
      <c r="B30">
        <f t="shared" si="0"/>
        <v>-0.89962795444926102</v>
      </c>
      <c r="D30" t="s">
        <v>32</v>
      </c>
      <c r="E30">
        <f t="shared" si="1"/>
        <v>1.7767469380070008E-2</v>
      </c>
      <c r="G30">
        <f t="shared" si="2"/>
        <v>0</v>
      </c>
      <c r="H30" t="s">
        <v>99</v>
      </c>
      <c r="I30">
        <f t="shared" si="3"/>
        <v>-0.70128408900615502</v>
      </c>
    </row>
    <row r="31" spans="1:9" x14ac:dyDescent="0.25">
      <c r="A31">
        <v>29</v>
      </c>
      <c r="B31">
        <f t="shared" si="0"/>
        <v>-0.70518173895740222</v>
      </c>
      <c r="D31" t="s">
        <v>33</v>
      </c>
      <c r="E31">
        <f t="shared" si="1"/>
        <v>1.4898545401277516E-2</v>
      </c>
      <c r="G31">
        <f t="shared" si="2"/>
        <v>0</v>
      </c>
      <c r="H31" t="s">
        <v>100</v>
      </c>
      <c r="I31">
        <f t="shared" si="3"/>
        <v>-0.54895569844034697</v>
      </c>
    </row>
    <row r="32" spans="1:9" x14ac:dyDescent="0.25">
      <c r="A32">
        <v>30</v>
      </c>
      <c r="B32">
        <f t="shared" si="0"/>
        <v>-0.35183314238757357</v>
      </c>
      <c r="D32" t="s">
        <v>34</v>
      </c>
      <c r="E32">
        <f t="shared" si="1"/>
        <v>1.2617720470104293E-2</v>
      </c>
      <c r="G32">
        <f t="shared" si="2"/>
        <v>0</v>
      </c>
      <c r="H32" t="s">
        <v>101</v>
      </c>
      <c r="I32">
        <f t="shared" si="3"/>
        <v>-0.37553124824138001</v>
      </c>
    </row>
    <row r="33" spans="1:9" x14ac:dyDescent="0.25">
      <c r="A33">
        <v>31</v>
      </c>
      <c r="B33">
        <f t="shared" si="0"/>
        <v>-1.2141850455222453E-2</v>
      </c>
      <c r="D33" t="s">
        <v>35</v>
      </c>
      <c r="E33">
        <f t="shared" si="1"/>
        <v>1.1096612594071045E-2</v>
      </c>
      <c r="G33">
        <f t="shared" si="2"/>
        <v>0</v>
      </c>
      <c r="H33" t="s">
        <v>102</v>
      </c>
      <c r="I33">
        <f t="shared" si="3"/>
        <v>-0.187675342772847</v>
      </c>
    </row>
    <row r="34" spans="1:9" x14ac:dyDescent="0.25">
      <c r="A34">
        <v>32</v>
      </c>
      <c r="B34">
        <f t="shared" si="0"/>
        <v>0.1668446721013018</v>
      </c>
      <c r="D34" t="s">
        <v>36</v>
      </c>
      <c r="E34">
        <f t="shared" si="1"/>
        <v>1.0553025418241499E-2</v>
      </c>
      <c r="G34">
        <f t="shared" si="2"/>
        <v>0</v>
      </c>
      <c r="H34" t="s">
        <v>71</v>
      </c>
      <c r="I34">
        <f t="shared" si="3"/>
        <v>7.39282086890452E-3</v>
      </c>
    </row>
    <row r="35" spans="1:9" x14ac:dyDescent="0.25">
      <c r="A35">
        <v>33</v>
      </c>
      <c r="B35">
        <f t="shared" si="0"/>
        <v>0.19243497257151634</v>
      </c>
      <c r="D35" t="s">
        <v>37</v>
      </c>
      <c r="E35">
        <f t="shared" si="1"/>
        <v>1.1096612594071067E-2</v>
      </c>
      <c r="G35">
        <f t="shared" si="2"/>
        <v>0</v>
      </c>
      <c r="H35" t="s">
        <v>72</v>
      </c>
      <c r="I35">
        <f t="shared" si="3"/>
        <v>0.20217688255060301</v>
      </c>
    </row>
    <row r="36" spans="1:9" x14ac:dyDescent="0.25">
      <c r="A36">
        <v>34</v>
      </c>
      <c r="B36">
        <f t="shared" si="0"/>
        <v>0.2129693774081689</v>
      </c>
      <c r="D36" t="s">
        <v>38</v>
      </c>
      <c r="E36">
        <f t="shared" si="1"/>
        <v>1.2617720470124489E-2</v>
      </c>
      <c r="G36">
        <f t="shared" si="2"/>
        <v>0</v>
      </c>
      <c r="H36" t="s">
        <v>73</v>
      </c>
      <c r="I36">
        <f t="shared" si="3"/>
        <v>0.38919140001798402</v>
      </c>
    </row>
    <row r="37" spans="1:9" x14ac:dyDescent="0.25">
      <c r="A37">
        <v>35</v>
      </c>
      <c r="B37">
        <f t="shared" si="0"/>
        <v>0.37483179200130051</v>
      </c>
      <c r="D37" t="s">
        <v>39</v>
      </c>
      <c r="E37">
        <f t="shared" si="1"/>
        <v>1.4898545401277516E-2</v>
      </c>
      <c r="G37">
        <f t="shared" si="2"/>
        <v>0</v>
      </c>
      <c r="H37" t="s">
        <v>74</v>
      </c>
      <c r="I37">
        <f t="shared" si="3"/>
        <v>0.56124951024372605</v>
      </c>
    </row>
    <row r="38" spans="1:9" x14ac:dyDescent="0.25">
      <c r="A38">
        <v>36</v>
      </c>
      <c r="B38">
        <f t="shared" si="0"/>
        <v>0.68151404326106646</v>
      </c>
      <c r="D38" t="s">
        <v>40</v>
      </c>
      <c r="E38">
        <f t="shared" si="1"/>
        <v>1.7767469380069945E-2</v>
      </c>
      <c r="G38">
        <f t="shared" si="2"/>
        <v>0</v>
      </c>
      <c r="H38" t="s">
        <v>75</v>
      </c>
      <c r="I38">
        <f t="shared" si="3"/>
        <v>0.71173911654315403</v>
      </c>
    </row>
    <row r="39" spans="1:9" x14ac:dyDescent="0.25">
      <c r="A39">
        <v>37</v>
      </c>
      <c r="B39">
        <f t="shared" si="0"/>
        <v>0.98455242269161392</v>
      </c>
      <c r="D39" t="s">
        <v>41</v>
      </c>
      <c r="E39">
        <f t="shared" si="1"/>
        <v>2.1142555911672255E-2</v>
      </c>
      <c r="G39">
        <f t="shared" si="2"/>
        <v>0</v>
      </c>
      <c r="H39" t="s">
        <v>76</v>
      </c>
      <c r="I39">
        <f t="shared" si="3"/>
        <v>0.83487698774172203</v>
      </c>
    </row>
    <row r="40" spans="1:9" x14ac:dyDescent="0.25">
      <c r="A40">
        <v>38</v>
      </c>
      <c r="B40">
        <f t="shared" si="0"/>
        <v>1.1148942613207455</v>
      </c>
      <c r="D40" t="s">
        <v>42</v>
      </c>
      <c r="E40">
        <f t="shared" si="1"/>
        <v>2.501599254080791E-2</v>
      </c>
      <c r="G40">
        <f t="shared" si="2"/>
        <v>0</v>
      </c>
      <c r="H40" t="s">
        <v>77</v>
      </c>
      <c r="I40">
        <f t="shared" si="3"/>
        <v>0.92593100450578503</v>
      </c>
    </row>
    <row r="41" spans="1:9" x14ac:dyDescent="0.25">
      <c r="A41">
        <v>39</v>
      </c>
      <c r="B41">
        <f t="shared" si="0"/>
        <v>1.0341138668752177</v>
      </c>
      <c r="D41" t="s">
        <v>43</v>
      </c>
      <c r="E41">
        <f t="shared" si="1"/>
        <v>2.9435428636935563E-2</v>
      </c>
      <c r="G41">
        <f t="shared" si="2"/>
        <v>0</v>
      </c>
      <c r="H41" t="s">
        <v>78</v>
      </c>
      <c r="I41">
        <f t="shared" si="3"/>
        <v>0.98140201203478095</v>
      </c>
    </row>
    <row r="42" spans="1:9" x14ac:dyDescent="0.25">
      <c r="A42">
        <v>40</v>
      </c>
      <c r="B42">
        <f t="shared" si="0"/>
        <v>0.86661238766954762</v>
      </c>
      <c r="D42" t="s">
        <v>44</v>
      </c>
      <c r="E42">
        <f t="shared" si="1"/>
        <v>3.4495800162169056E-2</v>
      </c>
      <c r="G42">
        <f t="shared" si="2"/>
        <v>0</v>
      </c>
      <c r="H42" t="s">
        <v>79</v>
      </c>
      <c r="I42">
        <f t="shared" si="3"/>
        <v>0.99915829061786898</v>
      </c>
    </row>
    <row r="43" spans="1:9" x14ac:dyDescent="0.25">
      <c r="A43">
        <v>41</v>
      </c>
      <c r="B43">
        <f t="shared" si="0"/>
        <v>0.78331742489846534</v>
      </c>
      <c r="D43" t="s">
        <v>45</v>
      </c>
      <c r="E43">
        <f t="shared" si="1"/>
        <v>4.0341345120485053E-2</v>
      </c>
      <c r="G43">
        <f t="shared" si="2"/>
        <v>0</v>
      </c>
      <c r="H43" t="s">
        <v>80</v>
      </c>
      <c r="I43">
        <f t="shared" si="3"/>
        <v>0.97851747642693698</v>
      </c>
    </row>
    <row r="44" spans="1:9" x14ac:dyDescent="0.25">
      <c r="A44">
        <v>42</v>
      </c>
      <c r="B44">
        <f t="shared" si="0"/>
        <v>0.84388246951361645</v>
      </c>
      <c r="D44" t="s">
        <v>46</v>
      </c>
      <c r="E44">
        <f t="shared" si="1"/>
        <v>4.7177068585070592E-2</v>
      </c>
      <c r="G44">
        <f t="shared" si="2"/>
        <v>0</v>
      </c>
      <c r="H44" t="s">
        <v>81</v>
      </c>
      <c r="I44">
        <f t="shared" si="3"/>
        <v>0.92027278437584004</v>
      </c>
    </row>
    <row r="45" spans="1:9" x14ac:dyDescent="0.25">
      <c r="A45">
        <v>43</v>
      </c>
      <c r="B45">
        <f t="shared" si="0"/>
        <v>0.94249227260667068</v>
      </c>
      <c r="D45" t="s">
        <v>47</v>
      </c>
      <c r="E45">
        <f t="shared" si="1"/>
        <v>5.5291417958993574E-2</v>
      </c>
      <c r="G45">
        <f t="shared" si="2"/>
        <v>0</v>
      </c>
      <c r="H45" t="s">
        <v>82</v>
      </c>
      <c r="I45">
        <f t="shared" si="3"/>
        <v>0.82666252531610396</v>
      </c>
    </row>
    <row r="46" spans="1:9" x14ac:dyDescent="0.25">
      <c r="A46">
        <v>44</v>
      </c>
      <c r="B46">
        <f t="shared" si="0"/>
        <v>0.90707544291608655</v>
      </c>
      <c r="D46" t="s">
        <v>48</v>
      </c>
      <c r="E46">
        <f t="shared" si="1"/>
        <v>6.5095653430194744E-2</v>
      </c>
      <c r="G46">
        <f t="shared" si="2"/>
        <v>0</v>
      </c>
      <c r="H46" t="s">
        <v>83</v>
      </c>
      <c r="I46">
        <f t="shared" si="3"/>
        <v>0.70128408900615502</v>
      </c>
    </row>
    <row r="47" spans="1:9" x14ac:dyDescent="0.25">
      <c r="A47">
        <v>45</v>
      </c>
      <c r="B47">
        <f t="shared" si="0"/>
        <v>0.66063463078314821</v>
      </c>
      <c r="D47" t="s">
        <v>49</v>
      </c>
      <c r="E47">
        <f t="shared" si="1"/>
        <v>7.7191740928286567E-2</v>
      </c>
      <c r="G47">
        <f t="shared" si="2"/>
        <v>0</v>
      </c>
      <c r="H47" t="s">
        <v>84</v>
      </c>
      <c r="I47">
        <f t="shared" si="3"/>
        <v>0.54895569844034697</v>
      </c>
    </row>
    <row r="48" spans="1:9" x14ac:dyDescent="0.25">
      <c r="A48">
        <v>46</v>
      </c>
      <c r="B48">
        <f t="shared" si="0"/>
        <v>0.29624784338813481</v>
      </c>
      <c r="D48" t="s">
        <v>50</v>
      </c>
      <c r="E48">
        <f t="shared" si="1"/>
        <v>9.249348561576845E-2</v>
      </c>
      <c r="G48">
        <f t="shared" si="2"/>
        <v>0</v>
      </c>
      <c r="H48" t="s">
        <v>85</v>
      </c>
      <c r="I48">
        <f t="shared" si="3"/>
        <v>0.37553124824138001</v>
      </c>
    </row>
    <row r="49" spans="1:9" x14ac:dyDescent="0.25">
      <c r="A49">
        <v>47</v>
      </c>
      <c r="B49">
        <f t="shared" si="0"/>
        <v>-3.3767718140577663E-3</v>
      </c>
      <c r="D49" t="s">
        <v>51</v>
      </c>
      <c r="E49">
        <f t="shared" si="1"/>
        <v>0.11245510198661055</v>
      </c>
      <c r="G49">
        <f t="shared" si="2"/>
        <v>0</v>
      </c>
      <c r="H49" t="s">
        <v>86</v>
      </c>
      <c r="I49">
        <f t="shared" si="3"/>
        <v>0.187675342772847</v>
      </c>
    </row>
    <row r="50" spans="1:9" x14ac:dyDescent="0.25">
      <c r="A50">
        <v>48</v>
      </c>
      <c r="B50">
        <f t="shared" si="0"/>
        <v>-0.12802886789383958</v>
      </c>
      <c r="D50" t="s">
        <v>52</v>
      </c>
      <c r="E50">
        <f t="shared" si="1"/>
        <v>0.13953627147064504</v>
      </c>
      <c r="G50">
        <f t="shared" si="2"/>
        <v>0</v>
      </c>
      <c r="H50" t="s">
        <v>87</v>
      </c>
      <c r="I50">
        <f t="shared" si="3"/>
        <v>-7.39282086890452E-3</v>
      </c>
    </row>
    <row r="51" spans="1:9" x14ac:dyDescent="0.25">
      <c r="A51">
        <v>49</v>
      </c>
      <c r="B51">
        <f t="shared" si="0"/>
        <v>-0.13497181326739982</v>
      </c>
      <c r="D51" t="s">
        <v>53</v>
      </c>
      <c r="E51">
        <f t="shared" si="1"/>
        <v>0.17824738327263687</v>
      </c>
      <c r="G51">
        <f t="shared" si="2"/>
        <v>0</v>
      </c>
      <c r="H51" t="s">
        <v>88</v>
      </c>
      <c r="I51">
        <f t="shared" si="3"/>
        <v>-0.20217688255060301</v>
      </c>
    </row>
    <row r="52" spans="1:9" x14ac:dyDescent="0.25">
      <c r="A52">
        <v>50</v>
      </c>
      <c r="B52">
        <f t="shared" si="0"/>
        <v>-0.18969022666666718</v>
      </c>
      <c r="D52" t="s">
        <v>54</v>
      </c>
      <c r="E52">
        <f t="shared" si="1"/>
        <v>0.23783969618178849</v>
      </c>
      <c r="G52">
        <f t="shared" si="2"/>
        <v>0</v>
      </c>
      <c r="H52" t="s">
        <v>89</v>
      </c>
      <c r="I52">
        <f t="shared" si="3"/>
        <v>-0.38919140001798402</v>
      </c>
    </row>
    <row r="53" spans="1:9" x14ac:dyDescent="0.25">
      <c r="A53">
        <v>51</v>
      </c>
      <c r="B53">
        <f t="shared" si="0"/>
        <v>-0.40713939365684521</v>
      </c>
      <c r="D53" t="s">
        <v>55</v>
      </c>
      <c r="E53">
        <f t="shared" si="1"/>
        <v>0.34073217642848896</v>
      </c>
      <c r="G53">
        <f t="shared" si="2"/>
        <v>0</v>
      </c>
      <c r="H53" t="s">
        <v>90</v>
      </c>
      <c r="I53">
        <f t="shared" si="3"/>
        <v>-0.56124951024372605</v>
      </c>
    </row>
    <row r="54" spans="1:9" x14ac:dyDescent="0.25">
      <c r="A54">
        <v>52</v>
      </c>
      <c r="B54">
        <f t="shared" si="0"/>
        <v>-0.73970493734568898</v>
      </c>
      <c r="D54" t="s">
        <v>56</v>
      </c>
      <c r="E54">
        <f t="shared" si="1"/>
        <v>0.55881133494922741</v>
      </c>
      <c r="G54">
        <f t="shared" si="2"/>
        <v>0</v>
      </c>
      <c r="H54" t="s">
        <v>91</v>
      </c>
      <c r="I54">
        <f t="shared" si="3"/>
        <v>-0.71173911654315403</v>
      </c>
    </row>
    <row r="55" spans="1:9" x14ac:dyDescent="0.25">
      <c r="A55">
        <v>53</v>
      </c>
      <c r="B55">
        <f t="shared" si="0"/>
        <v>-1.0151261695449689</v>
      </c>
      <c r="D55" t="s">
        <v>57</v>
      </c>
      <c r="E55">
        <f t="shared" si="1"/>
        <v>1.3172744372085985</v>
      </c>
      <c r="G55">
        <f t="shared" si="2"/>
        <v>0</v>
      </c>
      <c r="H55" t="s">
        <v>92</v>
      </c>
      <c r="I55">
        <f t="shared" si="3"/>
        <v>-0.83487698774172203</v>
      </c>
    </row>
    <row r="56" spans="1:9" x14ac:dyDescent="0.25">
      <c r="A56">
        <v>54</v>
      </c>
      <c r="B56">
        <f t="shared" si="0"/>
        <v>-1.0897414990839165</v>
      </c>
      <c r="D56" t="s">
        <v>58</v>
      </c>
      <c r="E56">
        <f t="shared" si="1"/>
        <v>6.1073564726694212</v>
      </c>
      <c r="G56">
        <f t="shared" si="2"/>
        <v>0</v>
      </c>
      <c r="H56" t="s">
        <v>93</v>
      </c>
      <c r="I56">
        <f t="shared" si="3"/>
        <v>-0.92593100450578503</v>
      </c>
    </row>
    <row r="57" spans="1:9" x14ac:dyDescent="0.25">
      <c r="A57">
        <v>55</v>
      </c>
      <c r="B57">
        <f t="shared" si="0"/>
        <v>-0.97635992915083936</v>
      </c>
      <c r="D57" t="s">
        <v>59</v>
      </c>
      <c r="E57">
        <f t="shared" si="1"/>
        <v>1.0150802244743233</v>
      </c>
      <c r="G57">
        <f t="shared" si="2"/>
        <v>0</v>
      </c>
      <c r="H57" t="s">
        <v>94</v>
      </c>
      <c r="I57">
        <f t="shared" si="3"/>
        <v>-0.98140201203478095</v>
      </c>
    </row>
    <row r="58" spans="1:9" x14ac:dyDescent="0.25">
      <c r="A58">
        <v>56</v>
      </c>
      <c r="B58">
        <f t="shared" si="0"/>
        <v>-0.82935597845548314</v>
      </c>
      <c r="D58" t="s">
        <v>60</v>
      </c>
      <c r="E58">
        <f t="shared" si="1"/>
        <v>0.58482326798915285</v>
      </c>
      <c r="G58">
        <f t="shared" si="2"/>
        <v>0</v>
      </c>
      <c r="H58" t="s">
        <v>95</v>
      </c>
      <c r="I58">
        <f t="shared" si="3"/>
        <v>-0.99915829061786898</v>
      </c>
    </row>
    <row r="59" spans="1:9" x14ac:dyDescent="0.25">
      <c r="A59">
        <v>57</v>
      </c>
      <c r="B59">
        <f t="shared" si="0"/>
        <v>-0.80081191500939197</v>
      </c>
      <c r="D59" t="s">
        <v>61</v>
      </c>
      <c r="E59">
        <f t="shared" si="1"/>
        <v>0.42699406169696674</v>
      </c>
      <c r="G59">
        <f t="shared" si="2"/>
        <v>0</v>
      </c>
      <c r="H59" t="s">
        <v>96</v>
      </c>
      <c r="I59">
        <f t="shared" si="3"/>
        <v>-0.97851747642693698</v>
      </c>
    </row>
    <row r="60" spans="1:9" x14ac:dyDescent="0.25">
      <c r="A60">
        <v>58</v>
      </c>
      <c r="B60">
        <f t="shared" si="0"/>
        <v>-0.90004350542152289</v>
      </c>
      <c r="D60" t="s">
        <v>62</v>
      </c>
      <c r="E60">
        <f t="shared" si="1"/>
        <v>0.3466965042677182</v>
      </c>
      <c r="G60">
        <f t="shared" si="2"/>
        <v>0</v>
      </c>
      <c r="H60" t="s">
        <v>97</v>
      </c>
      <c r="I60">
        <f t="shared" si="3"/>
        <v>-0.92027278437584004</v>
      </c>
    </row>
    <row r="61" spans="1:9" x14ac:dyDescent="0.25">
      <c r="A61">
        <v>59</v>
      </c>
      <c r="B61">
        <f t="shared" si="0"/>
        <v>-0.98568565689771459</v>
      </c>
      <c r="D61" t="s">
        <v>63</v>
      </c>
      <c r="E61">
        <f t="shared" si="1"/>
        <v>0.2994332188609875</v>
      </c>
      <c r="G61">
        <f t="shared" si="2"/>
        <v>0</v>
      </c>
      <c r="H61" t="s">
        <v>98</v>
      </c>
      <c r="I61">
        <f t="shared" si="3"/>
        <v>-0.82666252531610396</v>
      </c>
    </row>
    <row r="62" spans="1:9" x14ac:dyDescent="0.25">
      <c r="A62">
        <v>60</v>
      </c>
      <c r="B62">
        <f t="shared" si="0"/>
        <v>-0.89758937726957977</v>
      </c>
      <c r="D62" t="s">
        <v>64</v>
      </c>
      <c r="E62">
        <f t="shared" si="1"/>
        <v>0.26956141232451009</v>
      </c>
      <c r="G62">
        <f t="shared" si="2"/>
        <v>0</v>
      </c>
      <c r="H62" t="s">
        <v>99</v>
      </c>
      <c r="I62">
        <f t="shared" si="3"/>
        <v>-0.70128408900615502</v>
      </c>
    </row>
    <row r="63" spans="1:9" x14ac:dyDescent="0.25">
      <c r="A63">
        <v>61</v>
      </c>
      <c r="B63">
        <f t="shared" si="0"/>
        <v>-0.60719056020725592</v>
      </c>
      <c r="D63" t="s">
        <v>65</v>
      </c>
      <c r="E63">
        <f t="shared" si="1"/>
        <v>0.25024234507597531</v>
      </c>
      <c r="G63">
        <f t="shared" si="2"/>
        <v>0</v>
      </c>
      <c r="H63" t="s">
        <v>100</v>
      </c>
      <c r="I63">
        <f t="shared" si="3"/>
        <v>-0.54895569844034697</v>
      </c>
    </row>
    <row r="64" spans="1:9" x14ac:dyDescent="0.25">
      <c r="A64">
        <v>62</v>
      </c>
      <c r="B64">
        <f t="shared" si="0"/>
        <v>-0.24798199990037337</v>
      </c>
      <c r="D64" t="s">
        <v>66</v>
      </c>
      <c r="E64">
        <f t="shared" si="1"/>
        <v>31.973940485262066</v>
      </c>
      <c r="G64" t="str">
        <f t="shared" si="2"/>
        <v>0,236570267804998+31,9730652997718i</v>
      </c>
      <c r="H64" t="s">
        <v>101</v>
      </c>
      <c r="I64">
        <f t="shared" si="3"/>
        <v>-0.37553124824138001</v>
      </c>
    </row>
    <row r="65" spans="1:9" x14ac:dyDescent="0.25">
      <c r="A65">
        <v>63</v>
      </c>
      <c r="B65">
        <f t="shared" si="0"/>
        <v>2.0889943003818412E-3</v>
      </c>
      <c r="D65" t="s">
        <v>67</v>
      </c>
      <c r="E65">
        <f t="shared" si="1"/>
        <v>0.23137803219840963</v>
      </c>
      <c r="G65">
        <f t="shared" si="2"/>
        <v>0</v>
      </c>
      <c r="H65" t="s">
        <v>102</v>
      </c>
      <c r="I65">
        <f t="shared" si="3"/>
        <v>-0.187675342772847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0E93-364E-40FB-869A-E722C1FDE411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Pankowski Andrzej</dc:creator>
  <cp:lastModifiedBy>Dawid Karolak</cp:lastModifiedBy>
  <dcterms:created xsi:type="dcterms:W3CDTF">2025-05-12T22:07:29Z</dcterms:created>
  <dcterms:modified xsi:type="dcterms:W3CDTF">2026-04-23T12:02:56Z</dcterms:modified>
</cp:coreProperties>
</file>