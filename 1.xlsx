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eos\STUDENTs$\340512\Desktop\"/>
    </mc:Choice>
  </mc:AlternateContent>
  <xr:revisionPtr revIDLastSave="0" documentId="13_ncr:1_{04230998-117C-4207-868B-18E97181D2DE}" xr6:coauthVersionLast="47" xr6:coauthVersionMax="47" xr10:uidLastSave="{00000000-0000-0000-0000-000000000000}"/>
  <bookViews>
    <workbookView xWindow="-120" yWindow="-120" windowWidth="29040" windowHeight="15720" activeTab="6" xr2:uid="{F6183B41-069F-47C1-84B3-5B29064B2808}"/>
  </bookViews>
  <sheets>
    <sheet name="Arkusz1" sheetId="1" r:id="rId1"/>
    <sheet name="Arkusz2" sheetId="2" r:id="rId2"/>
    <sheet name="Arkusz3" sheetId="3" r:id="rId3"/>
    <sheet name="Arkusz4" sheetId="4" r:id="rId4"/>
    <sheet name="Arkusz5" sheetId="5" r:id="rId5"/>
    <sheet name="Arkusz6" sheetId="6" r:id="rId6"/>
    <sheet name="Arkusz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7" l="1" a="1"/>
  <c r="R9" i="7" s="1"/>
  <c r="R7" i="7"/>
  <c r="R6" i="7"/>
  <c r="R5" i="7"/>
  <c r="R4" i="7"/>
  <c r="R3" i="7"/>
  <c r="O7" i="7"/>
  <c r="O6" i="7"/>
  <c r="O5" i="7"/>
  <c r="O4" i="7"/>
  <c r="O3" i="7"/>
  <c r="L7" i="7"/>
  <c r="L6" i="7"/>
  <c r="L5" i="7"/>
  <c r="L4" i="7"/>
  <c r="L3" i="7"/>
  <c r="I7" i="7"/>
  <c r="I6" i="7"/>
  <c r="I5" i="7"/>
  <c r="I4" i="7"/>
  <c r="I3" i="7"/>
  <c r="F7" i="7"/>
  <c r="F6" i="7"/>
  <c r="F5" i="7"/>
  <c r="F4" i="7"/>
  <c r="F3" i="7"/>
  <c r="U9" i="6" a="1"/>
  <c r="U9" i="6" s="1"/>
  <c r="L6" i="6"/>
  <c r="I6" i="6"/>
  <c r="F6" i="6"/>
  <c r="L5" i="6"/>
  <c r="I5" i="6"/>
  <c r="F5" i="6"/>
  <c r="L4" i="6"/>
  <c r="I4" i="6"/>
  <c r="F4" i="6"/>
  <c r="AA4" i="5" a="1"/>
  <c r="AA4" i="5" s="1"/>
  <c r="I3" i="5"/>
  <c r="D3" i="5"/>
  <c r="D2" i="5"/>
  <c r="I2" i="5"/>
  <c r="K8" i="4" a="1"/>
  <c r="K8" i="4" s="1"/>
  <c r="G11" i="4"/>
  <c r="G10" i="4"/>
  <c r="G9" i="4"/>
  <c r="G8" i="4"/>
  <c r="F11" i="4"/>
  <c r="F10" i="4"/>
  <c r="F9" i="4"/>
  <c r="F8" i="4"/>
  <c r="E11" i="4"/>
  <c r="E10" i="4"/>
  <c r="E9" i="4"/>
  <c r="E8" i="4"/>
  <c r="D12" i="4"/>
  <c r="D11" i="4"/>
  <c r="D10" i="4"/>
  <c r="D9" i="4"/>
  <c r="D8" i="4"/>
  <c r="C12" i="4"/>
  <c r="C11" i="4"/>
  <c r="C10" i="4"/>
  <c r="C9" i="4"/>
  <c r="C8" i="4"/>
  <c r="H5" i="3" a="1"/>
  <c r="H5" i="3" s="1"/>
  <c r="D7" i="3"/>
  <c r="D6" i="3"/>
  <c r="D5" i="3"/>
  <c r="C7" i="3"/>
  <c r="C6" i="3"/>
  <c r="B7" i="3"/>
  <c r="B6" i="3"/>
  <c r="B5" i="3"/>
  <c r="C6" i="2"/>
  <c r="C5" i="2"/>
  <c r="F5" i="2" s="1" a="1"/>
  <c r="F5" i="2" s="1"/>
  <c r="B6" i="2"/>
  <c r="B5" i="2"/>
  <c r="J4" i="1" a="1"/>
  <c r="J4" i="1" s="1"/>
  <c r="J14" i="1" a="1"/>
  <c r="J1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<sst xmlns="http://schemas.openxmlformats.org/spreadsheetml/2006/main" count="178" uniqueCount="32">
  <si>
    <t>2x+y=3</t>
  </si>
  <si>
    <t>3x-2y=8</t>
  </si>
  <si>
    <t>x</t>
  </si>
  <si>
    <t>y</t>
  </si>
  <si>
    <t>A*X=B</t>
  </si>
  <si>
    <t xml:space="preserve">A = </t>
  </si>
  <si>
    <t xml:space="preserve">X = </t>
  </si>
  <si>
    <t>B =</t>
  </si>
  <si>
    <r>
      <t>X=A</t>
    </r>
    <r>
      <rPr>
        <vertAlign val="superscript"/>
        <sz val="11"/>
        <color theme="1"/>
        <rFont val="Aptos Narrow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>*B</t>
    </r>
  </si>
  <si>
    <r>
      <t>A</t>
    </r>
    <r>
      <rPr>
        <vertAlign val="superscript"/>
        <sz val="11"/>
        <color theme="1"/>
        <rFont val="Aptos Narrow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 xml:space="preserve"> =</t>
    </r>
  </si>
  <si>
    <t>=</t>
  </si>
  <si>
    <t>A=</t>
  </si>
  <si>
    <t>x=</t>
  </si>
  <si>
    <t>y=</t>
  </si>
  <si>
    <t>z</t>
  </si>
  <si>
    <t>z=</t>
  </si>
  <si>
    <t>a</t>
  </si>
  <si>
    <t>b</t>
  </si>
  <si>
    <t>c</t>
  </si>
  <si>
    <t>d</t>
  </si>
  <si>
    <t>e</t>
  </si>
  <si>
    <t>a=</t>
  </si>
  <si>
    <t>b=</t>
  </si>
  <si>
    <t>c=</t>
  </si>
  <si>
    <t>d=</t>
  </si>
  <si>
    <t>e=</t>
  </si>
  <si>
    <t>y=ax+b</t>
  </si>
  <si>
    <t>+</t>
  </si>
  <si>
    <r>
      <t>y=ax</t>
    </r>
    <r>
      <rPr>
        <vertAlign val="superscript"/>
        <sz val="11"/>
        <color theme="1"/>
        <rFont val="Aptos Narrow"/>
        <charset val="238"/>
        <scheme val="minor"/>
      </rPr>
      <t>2</t>
    </r>
    <r>
      <rPr>
        <sz val="11"/>
        <color theme="1"/>
        <rFont val="Aptos Narrow"/>
        <family val="2"/>
        <charset val="238"/>
        <scheme val="minor"/>
      </rPr>
      <t>+bx+c</t>
    </r>
  </si>
  <si>
    <t>B=</t>
  </si>
  <si>
    <t>X=</t>
  </si>
  <si>
    <r>
      <t>y=ax</t>
    </r>
    <r>
      <rPr>
        <vertAlign val="super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charset val="238"/>
        <scheme val="minor"/>
      </rPr>
      <t xml:space="preserve"> + bx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38"/>
        <scheme val="minor"/>
      </rPr>
      <t xml:space="preserve"> + cx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38"/>
        <scheme val="minor"/>
      </rPr>
      <t xml:space="preserve"> + dx + 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</si>
</sst>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vertAlign val="superscript"/>
      <sz val="11"/>
      <color theme="1"/>
      <name val="Aptos Narrow"/>
      <charset val="238"/>
      <scheme val="minor"/>
    </font>
    <font>
      <vertAlign val="super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2" borderId="8" xfId="0" applyFill="1" applyBorder="1"/>
    <xf numFmtId="0" fontId="0" fillId="0" borderId="0" xfId="0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803149606299221E-2"/>
          <c:y val="5.0925925925925923E-2"/>
          <c:w val="0.89972462817147858"/>
          <c:h val="0.842045056867891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Arkusz5!$A$2:$A$3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xVal>
          <c:yVal>
            <c:numRef>
              <c:f>Arkusz5!$B$2:$B$3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D1-44C3-AF3A-B46177F76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50560"/>
        <c:axId val="164552480"/>
      </c:scatterChart>
      <c:valAx>
        <c:axId val="16455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552480"/>
        <c:crosses val="autoZero"/>
        <c:crossBetween val="midCat"/>
      </c:valAx>
      <c:valAx>
        <c:axId val="16455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55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Arkusz6!$A$2:$A$4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6</c:v>
                </c:pt>
              </c:numCache>
            </c:numRef>
          </c:xVal>
          <c:yVal>
            <c:numRef>
              <c:f>Arkusz6!$B$2:$B$4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79-4518-917B-FF1BED362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35488"/>
        <c:axId val="165535008"/>
      </c:scatterChart>
      <c:valAx>
        <c:axId val="16553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5535008"/>
        <c:crosses val="autoZero"/>
        <c:crossBetween val="midCat"/>
      </c:valAx>
      <c:valAx>
        <c:axId val="16553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553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Arkusz7!$A$2:$A$6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10</c:v>
                </c:pt>
              </c:numCache>
            </c:numRef>
          </c:xVal>
          <c:yVal>
            <c:numRef>
              <c:f>Arkusz7!$B$2:$B$6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A4-4776-BAF4-9DC77E39D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08112"/>
        <c:axId val="207601872"/>
      </c:scatterChart>
      <c:valAx>
        <c:axId val="20760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7601872"/>
        <c:crosses val="autoZero"/>
        <c:crossBetween val="midCat"/>
      </c:valAx>
      <c:valAx>
        <c:axId val="2076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760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35607</xdr:colOff>
      <xdr:row>3</xdr:row>
      <xdr:rowOff>146879</xdr:rowOff>
    </xdr:from>
    <xdr:to>
      <xdr:col>16</xdr:col>
      <xdr:colOff>191834</xdr:colOff>
      <xdr:row>14</xdr:row>
      <xdr:rowOff>9613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98571BD-8D37-1FB4-263D-D41029C7E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12532</xdr:colOff>
      <xdr:row>0</xdr:row>
      <xdr:rowOff>182479</xdr:rowOff>
    </xdr:from>
    <xdr:to>
      <xdr:col>44</xdr:col>
      <xdr:colOff>172953</xdr:colOff>
      <xdr:row>16</xdr:row>
      <xdr:rowOff>8021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44C1A30-B96E-A532-EEC6-9D916F3B2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147204</xdr:colOff>
      <xdr:row>7</xdr:row>
      <xdr:rowOff>106939</xdr:rowOff>
    </xdr:from>
    <xdr:to>
      <xdr:col>36</xdr:col>
      <xdr:colOff>196993</xdr:colOff>
      <xdr:row>20</xdr:row>
      <xdr:rowOff>17318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6F777F1-C4E6-FA1D-0E9A-84762D010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5C52-5330-4F64-9850-0FC2A449CB00}">
  <dimension ref="B1:K15"/>
  <sheetViews>
    <sheetView workbookViewId="0">
      <selection activeCell="Q8" sqref="Q8"/>
    </sheetView>
  </sheetViews>
  <sheetFormatPr defaultRowHeight="14.25" x14ac:dyDescent="0.2"/>
  <cols>
    <col min="10" max="10" width="4.25" customWidth="1"/>
    <col min="11" max="11" width="4.5" customWidth="1"/>
  </cols>
  <sheetData>
    <row r="1" spans="2:11" x14ac:dyDescent="0.2">
      <c r="B1" t="s">
        <v>0</v>
      </c>
    </row>
    <row r="2" spans="2:11" ht="15" thickBot="1" x14ac:dyDescent="0.25">
      <c r="B2" t="s">
        <v>1</v>
      </c>
      <c r="E2" s="1" t="s">
        <v>2</v>
      </c>
      <c r="F2" s="1" t="s">
        <v>3</v>
      </c>
    </row>
    <row r="3" spans="2:11" x14ac:dyDescent="0.2">
      <c r="E3" s="2">
        <v>2</v>
      </c>
      <c r="F3" s="3">
        <v>1</v>
      </c>
      <c r="G3" s="6">
        <v>3</v>
      </c>
      <c r="I3" t="s">
        <v>4</v>
      </c>
    </row>
    <row r="4" spans="2:11" ht="17.25" thickBot="1" x14ac:dyDescent="0.25">
      <c r="E4" s="4">
        <v>3</v>
      </c>
      <c r="F4" s="5">
        <v>-2</v>
      </c>
      <c r="G4" s="7">
        <v>8</v>
      </c>
      <c r="I4" t="s">
        <v>8</v>
      </c>
      <c r="J4" s="16" cm="1">
        <f t="array" ref="J4:J5">MMULT(J14:K15,J9:J10)</f>
        <v>1.9999999999999998</v>
      </c>
      <c r="K4" t="s">
        <v>2</v>
      </c>
    </row>
    <row r="5" spans="2:11" x14ac:dyDescent="0.2">
      <c r="J5" s="16">
        <v>-1.0000000000000002</v>
      </c>
      <c r="K5" t="s">
        <v>3</v>
      </c>
    </row>
    <row r="8" spans="2:11" ht="15" thickBot="1" x14ac:dyDescent="0.25"/>
    <row r="9" spans="2:11" x14ac:dyDescent="0.2">
      <c r="B9" s="12" t="s">
        <v>5</v>
      </c>
      <c r="C9" s="2">
        <v>2</v>
      </c>
      <c r="D9" s="3">
        <v>1</v>
      </c>
      <c r="F9" s="13" t="s">
        <v>6</v>
      </c>
      <c r="G9" s="14" t="s">
        <v>2</v>
      </c>
      <c r="I9" s="12" t="s">
        <v>7</v>
      </c>
      <c r="J9" s="14">
        <v>3</v>
      </c>
    </row>
    <row r="10" spans="2:11" ht="15" thickBot="1" x14ac:dyDescent="0.25">
      <c r="B10" s="12"/>
      <c r="C10" s="4">
        <v>3</v>
      </c>
      <c r="D10" s="5">
        <v>-2</v>
      </c>
      <c r="F10" s="13"/>
      <c r="G10" s="15" t="s">
        <v>3</v>
      </c>
      <c r="I10" s="12"/>
      <c r="J10" s="15">
        <v>8</v>
      </c>
    </row>
    <row r="13" spans="2:11" ht="15" thickBot="1" x14ac:dyDescent="0.25"/>
    <row r="14" spans="2:11" ht="16.5" customHeight="1" x14ac:dyDescent="0.2">
      <c r="I14" s="13" t="s">
        <v>9</v>
      </c>
      <c r="J14" s="8" cm="1">
        <f t="array" ref="J14:K15">MINVERSE(C9:D10)</f>
        <v>0.28571428571428575</v>
      </c>
      <c r="K14" s="9">
        <v>0.14285714285714282</v>
      </c>
    </row>
    <row r="15" spans="2:11" ht="15" thickBot="1" x14ac:dyDescent="0.25">
      <c r="I15" s="13"/>
      <c r="J15" s="10">
        <v>0.4285714285714286</v>
      </c>
      <c r="K15" s="11">
        <v>-0.28571428571428575</v>
      </c>
    </row>
  </sheetData>
  <mergeCells count="4">
    <mergeCell ref="B9:B10"/>
    <mergeCell ref="F9:F10"/>
    <mergeCell ref="I9:I10"/>
    <mergeCell ref="I14:I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3FAE-0426-46AE-A112-6AB8E018D59D}">
  <dimension ref="A1:G6"/>
  <sheetViews>
    <sheetView workbookViewId="0">
      <selection activeCell="N13" sqref="N13"/>
    </sheetView>
  </sheetViews>
  <sheetFormatPr defaultColWidth="3.5" defaultRowHeight="14.25" x14ac:dyDescent="0.2"/>
  <sheetData>
    <row r="1" spans="1:7" x14ac:dyDescent="0.2">
      <c r="B1" s="17">
        <v>2</v>
      </c>
      <c r="C1" t="s">
        <v>2</v>
      </c>
      <c r="D1" s="17">
        <v>-2</v>
      </c>
      <c r="E1" t="s">
        <v>3</v>
      </c>
      <c r="F1" s="1" t="s">
        <v>10</v>
      </c>
      <c r="G1" s="18">
        <v>5</v>
      </c>
    </row>
    <row r="2" spans="1:7" x14ac:dyDescent="0.2">
      <c r="B2" s="17">
        <v>3</v>
      </c>
      <c r="C2" t="s">
        <v>2</v>
      </c>
      <c r="D2" s="17">
        <v>2</v>
      </c>
      <c r="E2" t="s">
        <v>3</v>
      </c>
      <c r="F2" s="1" t="s">
        <v>10</v>
      </c>
      <c r="G2" s="18">
        <v>5</v>
      </c>
    </row>
    <row r="5" spans="1:7" x14ac:dyDescent="0.2">
      <c r="A5" s="13" t="s">
        <v>11</v>
      </c>
      <c r="B5" s="17">
        <f>B1</f>
        <v>2</v>
      </c>
      <c r="C5" s="17">
        <f>D1</f>
        <v>-2</v>
      </c>
      <c r="E5" t="s">
        <v>12</v>
      </c>
      <c r="F5" s="19" cm="1">
        <f t="array" ref="F5:F6">MMULT(MINVERSE(B5:C6),G1:G2)</f>
        <v>2</v>
      </c>
    </row>
    <row r="6" spans="1:7" x14ac:dyDescent="0.2">
      <c r="A6" s="13"/>
      <c r="B6" s="17">
        <f>B2</f>
        <v>3</v>
      </c>
      <c r="C6" s="17">
        <f>D2</f>
        <v>2</v>
      </c>
      <c r="E6" t="s">
        <v>13</v>
      </c>
      <c r="F6" s="19">
        <v>-0.50000000000000022</v>
      </c>
    </row>
  </sheetData>
  <mergeCells count="1"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9705-A32A-4D0A-8284-41734F8ADCE1}">
  <dimension ref="A1:I7"/>
  <sheetViews>
    <sheetView zoomScale="196" zoomScaleNormal="196" workbookViewId="0">
      <selection activeCell="F12" sqref="F12"/>
    </sheetView>
  </sheetViews>
  <sheetFormatPr defaultColWidth="3" defaultRowHeight="14.25" x14ac:dyDescent="0.2"/>
  <sheetData>
    <row r="1" spans="1:9" x14ac:dyDescent="0.2">
      <c r="B1" s="1">
        <v>2</v>
      </c>
      <c r="C1" s="1" t="s">
        <v>2</v>
      </c>
      <c r="D1" s="1">
        <v>4</v>
      </c>
      <c r="E1" s="1" t="s">
        <v>3</v>
      </c>
      <c r="F1" s="1">
        <v>6</v>
      </c>
      <c r="G1" s="1" t="s">
        <v>14</v>
      </c>
      <c r="H1" s="1" t="s">
        <v>10</v>
      </c>
      <c r="I1" s="1">
        <v>7</v>
      </c>
    </row>
    <row r="2" spans="1:9" x14ac:dyDescent="0.2">
      <c r="B2" s="1">
        <v>6</v>
      </c>
      <c r="C2" s="1" t="s">
        <v>2</v>
      </c>
      <c r="D2" s="1">
        <v>2</v>
      </c>
      <c r="E2" s="1" t="s">
        <v>3</v>
      </c>
      <c r="F2" s="1">
        <v>4</v>
      </c>
      <c r="G2" s="1" t="s">
        <v>14</v>
      </c>
      <c r="H2" s="1" t="s">
        <v>10</v>
      </c>
      <c r="I2" s="1">
        <v>7</v>
      </c>
    </row>
    <row r="3" spans="1:9" x14ac:dyDescent="0.2">
      <c r="B3" s="1">
        <v>4</v>
      </c>
      <c r="C3" s="1" t="s">
        <v>2</v>
      </c>
      <c r="D3" s="1">
        <v>6</v>
      </c>
      <c r="E3" s="1" t="s">
        <v>3</v>
      </c>
      <c r="F3" s="1">
        <v>2</v>
      </c>
      <c r="G3" s="1" t="s">
        <v>14</v>
      </c>
      <c r="H3" s="1" t="s">
        <v>10</v>
      </c>
      <c r="I3" s="1">
        <v>7</v>
      </c>
    </row>
    <row r="5" spans="1:9" x14ac:dyDescent="0.2">
      <c r="A5" s="13" t="s">
        <v>11</v>
      </c>
      <c r="B5">
        <f>B1</f>
        <v>2</v>
      </c>
      <c r="C5">
        <v>4</v>
      </c>
      <c r="D5">
        <f>F1</f>
        <v>6</v>
      </c>
      <c r="G5" t="s">
        <v>12</v>
      </c>
      <c r="H5" cm="1">
        <f t="array" ref="H5:H7">MMULT(MINVERSE(B5:D7),I1:I3)</f>
        <v>0.58333333333333326</v>
      </c>
    </row>
    <row r="6" spans="1:9" x14ac:dyDescent="0.2">
      <c r="A6" s="13"/>
      <c r="B6">
        <f>B2</f>
        <v>6</v>
      </c>
      <c r="C6">
        <f>D2</f>
        <v>2</v>
      </c>
      <c r="D6">
        <f>F2</f>
        <v>4</v>
      </c>
      <c r="G6" t="s">
        <v>13</v>
      </c>
      <c r="H6">
        <v>0.58333333333333348</v>
      </c>
    </row>
    <row r="7" spans="1:9" x14ac:dyDescent="0.2">
      <c r="A7" s="13"/>
      <c r="B7">
        <f>B3</f>
        <v>4</v>
      </c>
      <c r="C7">
        <f>D3</f>
        <v>6</v>
      </c>
      <c r="D7">
        <f>F3</f>
        <v>2</v>
      </c>
      <c r="G7" t="s">
        <v>15</v>
      </c>
      <c r="H7">
        <v>0.58333333333333304</v>
      </c>
    </row>
  </sheetData>
  <mergeCells count="1">
    <mergeCell ref="A5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EC2C-E698-4928-B6C3-40A372B1FFD5}">
  <dimension ref="B1:M12"/>
  <sheetViews>
    <sheetView zoomScale="190" zoomScaleNormal="190" workbookViewId="0">
      <selection activeCell="Y13" sqref="Y13"/>
    </sheetView>
  </sheetViews>
  <sheetFormatPr defaultColWidth="2.875" defaultRowHeight="14.25" x14ac:dyDescent="0.2"/>
  <cols>
    <col min="2" max="3" width="3.5" bestFit="1" customWidth="1"/>
    <col min="5" max="8" width="3.5" bestFit="1" customWidth="1"/>
    <col min="10" max="10" width="3.5" bestFit="1" customWidth="1"/>
    <col min="11" max="11" width="8.625" bestFit="1" customWidth="1"/>
  </cols>
  <sheetData>
    <row r="1" spans="2:13" x14ac:dyDescent="0.2">
      <c r="B1">
        <v>-1</v>
      </c>
      <c r="C1" t="s">
        <v>16</v>
      </c>
      <c r="D1">
        <v>2</v>
      </c>
      <c r="E1" t="s">
        <v>17</v>
      </c>
      <c r="F1">
        <v>-3</v>
      </c>
      <c r="G1" t="s">
        <v>18</v>
      </c>
      <c r="H1">
        <v>4</v>
      </c>
      <c r="I1" t="s">
        <v>19</v>
      </c>
      <c r="J1">
        <v>-5</v>
      </c>
      <c r="K1" t="s">
        <v>20</v>
      </c>
      <c r="L1" t="s">
        <v>10</v>
      </c>
      <c r="M1">
        <v>1</v>
      </c>
    </row>
    <row r="2" spans="2:13" x14ac:dyDescent="0.2">
      <c r="B2">
        <v>6</v>
      </c>
      <c r="C2" t="s">
        <v>16</v>
      </c>
      <c r="D2">
        <v>-7</v>
      </c>
      <c r="E2" t="s">
        <v>17</v>
      </c>
      <c r="F2">
        <v>8</v>
      </c>
      <c r="G2" t="s">
        <v>18</v>
      </c>
      <c r="H2">
        <v>-9</v>
      </c>
      <c r="I2" t="s">
        <v>19</v>
      </c>
      <c r="J2">
        <v>1</v>
      </c>
      <c r="K2" t="s">
        <v>20</v>
      </c>
      <c r="L2" t="s">
        <v>10</v>
      </c>
      <c r="M2">
        <v>2</v>
      </c>
    </row>
    <row r="3" spans="2:13" x14ac:dyDescent="0.2">
      <c r="B3">
        <v>-2</v>
      </c>
      <c r="C3" t="s">
        <v>16</v>
      </c>
      <c r="D3">
        <v>3</v>
      </c>
      <c r="E3" t="s">
        <v>17</v>
      </c>
      <c r="F3">
        <v>-4</v>
      </c>
      <c r="G3" t="s">
        <v>18</v>
      </c>
      <c r="H3">
        <v>5</v>
      </c>
      <c r="I3" t="s">
        <v>19</v>
      </c>
      <c r="J3">
        <v>-6</v>
      </c>
      <c r="K3" t="s">
        <v>20</v>
      </c>
      <c r="L3" t="s">
        <v>10</v>
      </c>
      <c r="M3">
        <v>3</v>
      </c>
    </row>
    <row r="4" spans="2:13" x14ac:dyDescent="0.2">
      <c r="B4">
        <v>7</v>
      </c>
      <c r="C4" t="s">
        <v>16</v>
      </c>
      <c r="D4">
        <v>-8</v>
      </c>
      <c r="E4" t="s">
        <v>17</v>
      </c>
      <c r="F4">
        <v>9</v>
      </c>
      <c r="G4" t="s">
        <v>18</v>
      </c>
      <c r="H4">
        <v>-10</v>
      </c>
      <c r="I4" t="s">
        <v>19</v>
      </c>
      <c r="J4">
        <v>11</v>
      </c>
      <c r="K4" t="s">
        <v>20</v>
      </c>
      <c r="L4" t="s">
        <v>10</v>
      </c>
      <c r="M4">
        <v>4</v>
      </c>
    </row>
    <row r="5" spans="2:13" x14ac:dyDescent="0.2">
      <c r="B5">
        <v>-12</v>
      </c>
      <c r="C5" t="s">
        <v>16</v>
      </c>
      <c r="D5">
        <v>13</v>
      </c>
      <c r="E5" t="s">
        <v>17</v>
      </c>
      <c r="F5">
        <v>-14</v>
      </c>
      <c r="G5" t="s">
        <v>18</v>
      </c>
      <c r="H5">
        <v>15</v>
      </c>
      <c r="I5" t="s">
        <v>19</v>
      </c>
      <c r="J5">
        <v>-16</v>
      </c>
      <c r="K5" t="s">
        <v>20</v>
      </c>
      <c r="L5" t="s">
        <v>10</v>
      </c>
      <c r="M5">
        <v>5</v>
      </c>
    </row>
    <row r="8" spans="2:13" x14ac:dyDescent="0.2">
      <c r="B8" s="13" t="s">
        <v>11</v>
      </c>
      <c r="C8">
        <f>B1</f>
        <v>-1</v>
      </c>
      <c r="D8">
        <f>D1</f>
        <v>2</v>
      </c>
      <c r="E8">
        <f>F1</f>
        <v>-3</v>
      </c>
      <c r="F8">
        <f>H1</f>
        <v>4</v>
      </c>
      <c r="G8">
        <f>J1</f>
        <v>-5</v>
      </c>
      <c r="J8" t="s">
        <v>21</v>
      </c>
      <c r="K8" cm="1">
        <f t="array" ref="K8:K12">MMULT(MINVERSE(C8:G12),M1:M5)</f>
        <v>5.324132520958559E+31</v>
      </c>
    </row>
    <row r="9" spans="2:13" x14ac:dyDescent="0.2">
      <c r="B9" s="13"/>
      <c r="C9">
        <f>B2</f>
        <v>6</v>
      </c>
      <c r="D9">
        <f>D2</f>
        <v>-7</v>
      </c>
      <c r="E9">
        <f>F2</f>
        <v>8</v>
      </c>
      <c r="F9">
        <f>H2</f>
        <v>-9</v>
      </c>
      <c r="G9">
        <f>J2</f>
        <v>1</v>
      </c>
      <c r="J9" t="s">
        <v>22</v>
      </c>
      <c r="K9">
        <v>6.3382530011411434E+31</v>
      </c>
    </row>
    <row r="10" spans="2:13" x14ac:dyDescent="0.2">
      <c r="B10" s="13"/>
      <c r="C10">
        <f>B3</f>
        <v>-2</v>
      </c>
      <c r="D10">
        <f>D3</f>
        <v>3</v>
      </c>
      <c r="E10">
        <f>F3</f>
        <v>-4</v>
      </c>
      <c r="F10">
        <f>H3</f>
        <v>5</v>
      </c>
      <c r="G10">
        <f>J3</f>
        <v>-6</v>
      </c>
      <c r="J10" t="s">
        <v>23</v>
      </c>
      <c r="K10">
        <v>-3.295891560593396E+31</v>
      </c>
    </row>
    <row r="11" spans="2:13" x14ac:dyDescent="0.2">
      <c r="B11" s="13"/>
      <c r="C11">
        <f>B4</f>
        <v>7</v>
      </c>
      <c r="D11">
        <f>D4</f>
        <v>-8</v>
      </c>
      <c r="E11">
        <f>F4</f>
        <v>9</v>
      </c>
      <c r="F11">
        <f>H4</f>
        <v>-10</v>
      </c>
      <c r="G11">
        <f>J4</f>
        <v>11</v>
      </c>
      <c r="J11" t="s">
        <v>24</v>
      </c>
      <c r="K11">
        <v>-4.31001204077598E+31</v>
      </c>
    </row>
    <row r="12" spans="2:13" x14ac:dyDescent="0.2">
      <c r="B12" s="13"/>
      <c r="C12">
        <f>B5</f>
        <v>-12</v>
      </c>
      <c r="D12">
        <f>D5</f>
        <v>13</v>
      </c>
      <c r="E12">
        <v>3</v>
      </c>
      <c r="F12">
        <v>2</v>
      </c>
      <c r="G12">
        <v>1</v>
      </c>
      <c r="J12" t="s">
        <v>25</v>
      </c>
      <c r="K12">
        <v>-4253399648072134</v>
      </c>
    </row>
  </sheetData>
  <mergeCells count="1">
    <mergeCell ref="B8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0594-9B9E-4C8D-9E7A-97D0FB061E48}">
  <dimension ref="A1:AA8"/>
  <sheetViews>
    <sheetView zoomScale="214" zoomScaleNormal="214" workbookViewId="0">
      <selection activeCell="AA9" sqref="AA9"/>
    </sheetView>
  </sheetViews>
  <sheetFormatPr defaultColWidth="2.75" defaultRowHeight="14.25" x14ac:dyDescent="0.2"/>
  <cols>
    <col min="1" max="26" width="2.75" style="20"/>
    <col min="27" max="27" width="3.875" style="20" customWidth="1"/>
    <col min="28" max="16384" width="2.75" style="20"/>
  </cols>
  <sheetData>
    <row r="1" spans="1:27" x14ac:dyDescent="0.2">
      <c r="A1" s="20" t="s">
        <v>2</v>
      </c>
      <c r="B1" s="20" t="s">
        <v>3</v>
      </c>
    </row>
    <row r="2" spans="1:27" x14ac:dyDescent="0.2">
      <c r="A2" s="20">
        <v>1</v>
      </c>
      <c r="B2" s="20">
        <v>5</v>
      </c>
      <c r="D2" s="20">
        <f>A2</f>
        <v>1</v>
      </c>
      <c r="E2" s="20" t="s">
        <v>16</v>
      </c>
      <c r="F2" s="20" t="s">
        <v>27</v>
      </c>
      <c r="G2" s="20" t="s">
        <v>17</v>
      </c>
      <c r="H2" s="20" t="s">
        <v>10</v>
      </c>
      <c r="I2" s="20">
        <f>B2</f>
        <v>5</v>
      </c>
      <c r="AA2" s="20" t="s">
        <v>26</v>
      </c>
    </row>
    <row r="3" spans="1:27" x14ac:dyDescent="0.2">
      <c r="A3" s="20">
        <v>3</v>
      </c>
      <c r="B3" s="20">
        <v>2</v>
      </c>
      <c r="D3" s="20">
        <f>A3</f>
        <v>3</v>
      </c>
      <c r="E3" s="20" t="s">
        <v>16</v>
      </c>
      <c r="F3" s="20" t="s">
        <v>27</v>
      </c>
      <c r="G3" s="20" t="s">
        <v>17</v>
      </c>
      <c r="H3" s="20" t="s">
        <v>10</v>
      </c>
      <c r="I3" s="20">
        <f>B3</f>
        <v>2</v>
      </c>
    </row>
    <row r="4" spans="1:27" x14ac:dyDescent="0.2">
      <c r="Z4" s="20" t="s">
        <v>21</v>
      </c>
      <c r="AA4" s="20" cm="1">
        <f t="array" ref="AA4:AA5">MMULT(MINVERSE(W7:X8),Y7:Y8)</f>
        <v>-1.4999999999999996</v>
      </c>
    </row>
    <row r="5" spans="1:27" x14ac:dyDescent="0.2">
      <c r="Z5" s="20" t="s">
        <v>22</v>
      </c>
      <c r="AA5" s="20">
        <v>6.4999999999999991</v>
      </c>
    </row>
    <row r="7" spans="1:27" x14ac:dyDescent="0.2">
      <c r="W7" s="20">
        <v>1</v>
      </c>
      <c r="X7" s="20">
        <v>1</v>
      </c>
      <c r="Y7" s="20">
        <v>5</v>
      </c>
    </row>
    <row r="8" spans="1:27" x14ac:dyDescent="0.2">
      <c r="W8" s="20">
        <v>3</v>
      </c>
      <c r="X8" s="20">
        <v>1</v>
      </c>
      <c r="Y8" s="20"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1AF3-7711-482F-9430-06D15002CF1A}">
  <dimension ref="A1:U11"/>
  <sheetViews>
    <sheetView zoomScale="190" zoomScaleNormal="190" workbookViewId="0">
      <selection activeCell="U16" sqref="U16"/>
    </sheetView>
  </sheetViews>
  <sheetFormatPr defaultColWidth="2.625" defaultRowHeight="14.25" x14ac:dyDescent="0.2"/>
  <cols>
    <col min="1" max="2" width="2.625" style="20"/>
    <col min="3" max="3" width="2.875" style="20" bestFit="1" customWidth="1"/>
    <col min="4" max="8" width="2.625" style="20"/>
    <col min="9" max="9" width="2.875" style="20" bestFit="1" customWidth="1"/>
    <col min="10" max="20" width="2.625" style="20"/>
    <col min="21" max="21" width="6.375" style="20" bestFit="1" customWidth="1"/>
    <col min="22" max="16384" width="2.625" style="20"/>
  </cols>
  <sheetData>
    <row r="1" spans="1:21" ht="16.5" x14ac:dyDescent="0.2">
      <c r="A1" s="20" t="s">
        <v>2</v>
      </c>
      <c r="B1" s="20" t="s">
        <v>3</v>
      </c>
      <c r="G1" s="20" t="s">
        <v>28</v>
      </c>
    </row>
    <row r="2" spans="1:21" x14ac:dyDescent="0.2">
      <c r="A2" s="20">
        <v>1</v>
      </c>
      <c r="B2" s="20">
        <v>2</v>
      </c>
    </row>
    <row r="3" spans="1:21" x14ac:dyDescent="0.2">
      <c r="A3" s="20">
        <v>3</v>
      </c>
      <c r="B3" s="20">
        <v>3</v>
      </c>
    </row>
    <row r="4" spans="1:21" x14ac:dyDescent="0.2">
      <c r="A4" s="20">
        <v>6</v>
      </c>
      <c r="B4" s="20">
        <v>8</v>
      </c>
      <c r="F4" s="20">
        <f>B2</f>
        <v>2</v>
      </c>
      <c r="G4" s="20" t="s">
        <v>10</v>
      </c>
      <c r="H4" s="20" t="s">
        <v>16</v>
      </c>
      <c r="I4" s="20">
        <f>A2^2</f>
        <v>1</v>
      </c>
      <c r="J4" s="20" t="s">
        <v>27</v>
      </c>
      <c r="K4" s="20" t="s">
        <v>17</v>
      </c>
      <c r="L4" s="20">
        <f>A2</f>
        <v>1</v>
      </c>
      <c r="M4" s="20" t="s">
        <v>27</v>
      </c>
      <c r="N4" s="20" t="s">
        <v>18</v>
      </c>
    </row>
    <row r="5" spans="1:21" x14ac:dyDescent="0.2">
      <c r="F5" s="20">
        <f>B3</f>
        <v>3</v>
      </c>
      <c r="G5" s="20" t="s">
        <v>10</v>
      </c>
      <c r="H5" s="20" t="s">
        <v>16</v>
      </c>
      <c r="I5" s="20">
        <f>A3^2</f>
        <v>9</v>
      </c>
      <c r="J5" s="20" t="s">
        <v>27</v>
      </c>
      <c r="K5" s="20" t="s">
        <v>17</v>
      </c>
      <c r="L5" s="20">
        <f>A3</f>
        <v>3</v>
      </c>
      <c r="M5" s="20" t="s">
        <v>27</v>
      </c>
      <c r="N5" s="20" t="s">
        <v>18</v>
      </c>
    </row>
    <row r="6" spans="1:21" x14ac:dyDescent="0.2">
      <c r="F6" s="20">
        <f>B4</f>
        <v>8</v>
      </c>
      <c r="G6" s="20" t="s">
        <v>10</v>
      </c>
      <c r="H6" s="20" t="s">
        <v>16</v>
      </c>
      <c r="I6" s="20">
        <f>A4^2</f>
        <v>36</v>
      </c>
      <c r="J6" s="20" t="s">
        <v>27</v>
      </c>
      <c r="K6" s="20" t="s">
        <v>17</v>
      </c>
      <c r="L6" s="20">
        <f>A4</f>
        <v>6</v>
      </c>
      <c r="M6" s="20" t="s">
        <v>27</v>
      </c>
      <c r="N6" s="20" t="s">
        <v>18</v>
      </c>
    </row>
    <row r="9" spans="1:21" x14ac:dyDescent="0.2">
      <c r="B9" s="13" t="s">
        <v>11</v>
      </c>
      <c r="C9" s="20">
        <v>1</v>
      </c>
      <c r="D9" s="20">
        <v>1</v>
      </c>
      <c r="E9" s="20">
        <v>1</v>
      </c>
      <c r="J9" s="20">
        <v>2</v>
      </c>
      <c r="P9" s="13" t="s">
        <v>30</v>
      </c>
      <c r="Q9" s="20" t="s">
        <v>16</v>
      </c>
      <c r="T9" s="20" t="s">
        <v>21</v>
      </c>
      <c r="U9" s="20" cm="1">
        <f t="array" ref="U9:U11">MMULT(MINVERSE(C9:E11),J9:J11)</f>
        <v>0.23333333333333328</v>
      </c>
    </row>
    <row r="10" spans="1:21" x14ac:dyDescent="0.2">
      <c r="B10" s="13"/>
      <c r="C10" s="20">
        <v>9</v>
      </c>
      <c r="D10" s="20">
        <v>3</v>
      </c>
      <c r="E10" s="20">
        <v>1</v>
      </c>
      <c r="I10" s="20" t="s">
        <v>29</v>
      </c>
      <c r="J10" s="20">
        <v>3</v>
      </c>
      <c r="P10" s="13"/>
      <c r="Q10" s="20" t="s">
        <v>17</v>
      </c>
      <c r="T10" s="20" t="s">
        <v>22</v>
      </c>
      <c r="U10" s="20">
        <v>-0.43333333333333313</v>
      </c>
    </row>
    <row r="11" spans="1:21" x14ac:dyDescent="0.2">
      <c r="B11" s="13"/>
      <c r="C11" s="20">
        <v>36</v>
      </c>
      <c r="D11" s="20">
        <v>6</v>
      </c>
      <c r="E11" s="20">
        <v>1</v>
      </c>
      <c r="J11" s="20">
        <v>8</v>
      </c>
      <c r="P11" s="13"/>
      <c r="Q11" s="20" t="s">
        <v>18</v>
      </c>
      <c r="T11" s="20" t="s">
        <v>23</v>
      </c>
      <c r="U11" s="20">
        <v>2.1999999999999997</v>
      </c>
    </row>
  </sheetData>
  <mergeCells count="2">
    <mergeCell ref="B9:B11"/>
    <mergeCell ref="P9:P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92D7E-7300-4E15-8A02-DF4A45B12E68}">
  <dimension ref="A1:T13"/>
  <sheetViews>
    <sheetView tabSelected="1" zoomScale="220" zoomScaleNormal="220" workbookViewId="0">
      <selection activeCell="Z4" sqref="Z4"/>
    </sheetView>
  </sheetViews>
  <sheetFormatPr defaultColWidth="2.75" defaultRowHeight="14.25" x14ac:dyDescent="0.2"/>
  <cols>
    <col min="1" max="6" width="2.75" style="20"/>
    <col min="7" max="7" width="5.875" style="20" bestFit="1" customWidth="1"/>
    <col min="8" max="8" width="4.875" style="20" bestFit="1" customWidth="1"/>
    <col min="9" max="9" width="5.875" style="20" bestFit="1" customWidth="1"/>
    <col min="10" max="11" width="2.75" style="20"/>
    <col min="12" max="12" width="4.875" style="20" bestFit="1" customWidth="1"/>
    <col min="13" max="14" width="2.75" style="20"/>
    <col min="15" max="15" width="3.875" style="20" bestFit="1" customWidth="1"/>
    <col min="16" max="16384" width="2.75" style="20"/>
  </cols>
  <sheetData>
    <row r="1" spans="1:20" ht="16.5" x14ac:dyDescent="0.2">
      <c r="A1" s="20" t="s">
        <v>2</v>
      </c>
      <c r="B1" s="20" t="s">
        <v>3</v>
      </c>
      <c r="H1" s="20" t="s">
        <v>31</v>
      </c>
    </row>
    <row r="2" spans="1:20" x14ac:dyDescent="0.2">
      <c r="A2" s="20">
        <v>1</v>
      </c>
      <c r="B2" s="20">
        <v>2</v>
      </c>
    </row>
    <row r="3" spans="1:20" x14ac:dyDescent="0.2">
      <c r="A3" s="20">
        <v>2</v>
      </c>
      <c r="B3" s="20">
        <v>5</v>
      </c>
      <c r="F3" s="20">
        <f>B2</f>
        <v>2</v>
      </c>
      <c r="G3" s="20" t="s">
        <v>10</v>
      </c>
      <c r="H3" s="20" t="s">
        <v>16</v>
      </c>
      <c r="I3" s="20">
        <f>A2^4</f>
        <v>1</v>
      </c>
      <c r="J3" s="20" t="s">
        <v>27</v>
      </c>
      <c r="K3" s="20" t="s">
        <v>17</v>
      </c>
      <c r="L3" s="20">
        <f>A2^3</f>
        <v>1</v>
      </c>
      <c r="M3" s="20" t="s">
        <v>27</v>
      </c>
      <c r="N3" s="20" t="s">
        <v>18</v>
      </c>
      <c r="O3" s="20">
        <f>A2^2</f>
        <v>1</v>
      </c>
      <c r="P3" s="20" t="s">
        <v>27</v>
      </c>
      <c r="Q3" s="20" t="s">
        <v>19</v>
      </c>
      <c r="R3" s="20">
        <f>A2</f>
        <v>1</v>
      </c>
      <c r="S3" s="20" t="s">
        <v>27</v>
      </c>
      <c r="T3" s="20" t="s">
        <v>20</v>
      </c>
    </row>
    <row r="4" spans="1:20" x14ac:dyDescent="0.2">
      <c r="A4" s="20">
        <v>4</v>
      </c>
      <c r="B4" s="20">
        <v>3</v>
      </c>
      <c r="F4" s="20">
        <f>B3</f>
        <v>5</v>
      </c>
      <c r="G4" s="20" t="s">
        <v>10</v>
      </c>
      <c r="H4" s="20" t="s">
        <v>16</v>
      </c>
      <c r="I4" s="20">
        <f>A3^4</f>
        <v>16</v>
      </c>
      <c r="J4" s="20" t="s">
        <v>27</v>
      </c>
      <c r="K4" s="20" t="s">
        <v>17</v>
      </c>
      <c r="L4" s="20">
        <f>A3^3</f>
        <v>8</v>
      </c>
      <c r="M4" s="20" t="s">
        <v>27</v>
      </c>
      <c r="N4" s="20" t="s">
        <v>18</v>
      </c>
      <c r="O4" s="20">
        <f>A3^2</f>
        <v>4</v>
      </c>
      <c r="P4" s="20" t="s">
        <v>27</v>
      </c>
      <c r="Q4" s="20" t="s">
        <v>19</v>
      </c>
      <c r="R4" s="20">
        <f>A3</f>
        <v>2</v>
      </c>
      <c r="S4" s="20" t="s">
        <v>27</v>
      </c>
      <c r="T4" s="20" t="s">
        <v>20</v>
      </c>
    </row>
    <row r="5" spans="1:20" x14ac:dyDescent="0.2">
      <c r="A5" s="20">
        <v>7</v>
      </c>
      <c r="B5" s="20">
        <v>1</v>
      </c>
      <c r="F5" s="20">
        <f>B4</f>
        <v>3</v>
      </c>
      <c r="G5" s="20" t="s">
        <v>10</v>
      </c>
      <c r="H5" s="20" t="s">
        <v>16</v>
      </c>
      <c r="I5" s="20">
        <f>A4^4</f>
        <v>256</v>
      </c>
      <c r="J5" s="20" t="s">
        <v>27</v>
      </c>
      <c r="K5" s="20" t="s">
        <v>17</v>
      </c>
      <c r="L5" s="20">
        <f>A4^3</f>
        <v>64</v>
      </c>
      <c r="M5" s="20" t="s">
        <v>27</v>
      </c>
      <c r="N5" s="20" t="s">
        <v>18</v>
      </c>
      <c r="O5" s="20">
        <f>A4^2</f>
        <v>16</v>
      </c>
      <c r="P5" s="20" t="s">
        <v>27</v>
      </c>
      <c r="Q5" s="20" t="s">
        <v>19</v>
      </c>
      <c r="R5" s="20">
        <f>A4</f>
        <v>4</v>
      </c>
      <c r="S5" s="20" t="s">
        <v>27</v>
      </c>
      <c r="T5" s="20" t="s">
        <v>20</v>
      </c>
    </row>
    <row r="6" spans="1:20" x14ac:dyDescent="0.2">
      <c r="A6" s="20">
        <v>10</v>
      </c>
      <c r="B6" s="20">
        <v>1</v>
      </c>
      <c r="F6" s="20">
        <f>B5</f>
        <v>1</v>
      </c>
      <c r="G6" s="20" t="s">
        <v>10</v>
      </c>
      <c r="H6" s="20" t="s">
        <v>16</v>
      </c>
      <c r="I6" s="20">
        <f>A5^4</f>
        <v>2401</v>
      </c>
      <c r="J6" s="20" t="s">
        <v>27</v>
      </c>
      <c r="K6" s="20" t="s">
        <v>17</v>
      </c>
      <c r="L6" s="20">
        <f>A5^3</f>
        <v>343</v>
      </c>
      <c r="M6" s="20" t="s">
        <v>27</v>
      </c>
      <c r="N6" s="20" t="s">
        <v>18</v>
      </c>
      <c r="O6" s="20">
        <f>A5^2</f>
        <v>49</v>
      </c>
      <c r="P6" s="20" t="s">
        <v>27</v>
      </c>
      <c r="Q6" s="20" t="s">
        <v>19</v>
      </c>
      <c r="R6" s="20">
        <f>A5</f>
        <v>7</v>
      </c>
      <c r="S6" s="20" t="s">
        <v>27</v>
      </c>
      <c r="T6" s="20" t="s">
        <v>20</v>
      </c>
    </row>
    <row r="7" spans="1:20" x14ac:dyDescent="0.2">
      <c r="F7" s="20">
        <f>B6</f>
        <v>1</v>
      </c>
      <c r="G7" s="20" t="s">
        <v>10</v>
      </c>
      <c r="H7" s="20" t="s">
        <v>16</v>
      </c>
      <c r="I7" s="20">
        <f>A6^4</f>
        <v>10000</v>
      </c>
      <c r="J7" s="20" t="s">
        <v>27</v>
      </c>
      <c r="K7" s="20" t="s">
        <v>17</v>
      </c>
      <c r="L7" s="20">
        <f>A6^3</f>
        <v>1000</v>
      </c>
      <c r="M7" s="20" t="s">
        <v>27</v>
      </c>
      <c r="N7" s="20" t="s">
        <v>18</v>
      </c>
      <c r="O7" s="20">
        <f>A6^2</f>
        <v>100</v>
      </c>
      <c r="P7" s="20" t="s">
        <v>27</v>
      </c>
      <c r="Q7" s="20" t="s">
        <v>19</v>
      </c>
      <c r="R7" s="20">
        <f>A6</f>
        <v>10</v>
      </c>
      <c r="S7" s="20" t="s">
        <v>27</v>
      </c>
      <c r="T7" s="20" t="s">
        <v>20</v>
      </c>
    </row>
    <row r="9" spans="1:20" x14ac:dyDescent="0.2">
      <c r="F9" s="13" t="s">
        <v>11</v>
      </c>
      <c r="G9" s="20">
        <v>1</v>
      </c>
      <c r="H9" s="20">
        <v>1</v>
      </c>
      <c r="I9" s="20">
        <v>1</v>
      </c>
      <c r="J9" s="20">
        <v>1</v>
      </c>
      <c r="K9" s="20">
        <v>1</v>
      </c>
      <c r="M9" s="13" t="s">
        <v>29</v>
      </c>
      <c r="N9" s="20">
        <v>2</v>
      </c>
      <c r="Q9" s="20" t="s">
        <v>21</v>
      </c>
      <c r="R9" s="20" cm="1">
        <f t="array" ref="R9:R13">MMULT(MINVERSE(G9:K13),N9:N13)</f>
        <v>-2.5308641975308535E-2</v>
      </c>
    </row>
    <row r="10" spans="1:20" x14ac:dyDescent="0.2">
      <c r="F10" s="13"/>
      <c r="G10" s="20">
        <v>16</v>
      </c>
      <c r="H10" s="20">
        <v>8</v>
      </c>
      <c r="I10" s="20">
        <v>4</v>
      </c>
      <c r="J10" s="20">
        <v>2</v>
      </c>
      <c r="K10" s="20">
        <v>1</v>
      </c>
      <c r="M10" s="13"/>
      <c r="N10" s="20">
        <v>5</v>
      </c>
      <c r="Q10" s="20" t="s">
        <v>22</v>
      </c>
      <c r="R10" s="20">
        <v>0.58765432098765236</v>
      </c>
    </row>
    <row r="11" spans="1:20" x14ac:dyDescent="0.2">
      <c r="F11" s="13"/>
      <c r="G11" s="20">
        <v>256</v>
      </c>
      <c r="H11" s="20">
        <v>64</v>
      </c>
      <c r="I11" s="20">
        <v>16</v>
      </c>
      <c r="J11" s="20">
        <v>4</v>
      </c>
      <c r="K11" s="20">
        <v>1</v>
      </c>
      <c r="M11" s="13"/>
      <c r="N11" s="20">
        <v>3</v>
      </c>
      <c r="Q11" s="20" t="s">
        <v>23</v>
      </c>
      <c r="R11" s="20">
        <v>-4.5611111111111011</v>
      </c>
    </row>
    <row r="12" spans="1:20" x14ac:dyDescent="0.2">
      <c r="F12" s="13"/>
      <c r="G12" s="20">
        <v>2401</v>
      </c>
      <c r="H12" s="20">
        <v>343</v>
      </c>
      <c r="I12" s="20">
        <v>49</v>
      </c>
      <c r="J12" s="20">
        <v>7</v>
      </c>
      <c r="K12" s="20">
        <v>1</v>
      </c>
      <c r="M12" s="13"/>
      <c r="N12" s="20">
        <v>1</v>
      </c>
      <c r="Q12" s="20" t="s">
        <v>24</v>
      </c>
      <c r="R12" s="20">
        <v>12.949382716049371</v>
      </c>
    </row>
    <row r="13" spans="1:20" x14ac:dyDescent="0.2">
      <c r="F13" s="13"/>
      <c r="G13" s="20">
        <v>10000</v>
      </c>
      <c r="H13" s="20">
        <v>1000</v>
      </c>
      <c r="I13" s="20">
        <v>100</v>
      </c>
      <c r="J13" s="20">
        <v>10</v>
      </c>
      <c r="K13" s="20">
        <v>1</v>
      </c>
      <c r="M13" s="13"/>
      <c r="N13" s="20">
        <v>1</v>
      </c>
      <c r="Q13" s="20" t="s">
        <v>25</v>
      </c>
      <c r="R13" s="20">
        <v>-6.9506172839506073</v>
      </c>
    </row>
  </sheetData>
  <mergeCells count="2">
    <mergeCell ref="F9:F13"/>
    <mergeCell ref="M9:M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Arkusz1</vt:lpstr>
      <vt:lpstr>Arkusz2</vt:lpstr>
      <vt:lpstr>Arkusz3</vt:lpstr>
      <vt:lpstr>Arkusz4</vt:lpstr>
      <vt:lpstr>Arkusz5</vt:lpstr>
      <vt:lpstr>Arkusz6</vt:lpstr>
      <vt:lpstr>Arkusz7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Karolak</dc:creator>
  <cp:lastModifiedBy>Dawid Karolak</cp:lastModifiedBy>
  <dcterms:created xsi:type="dcterms:W3CDTF">2026-03-12T12:24:32Z</dcterms:created>
  <dcterms:modified xsi:type="dcterms:W3CDTF">2026-03-12T14:36:11Z</dcterms:modified>
</cp:coreProperties>
</file>